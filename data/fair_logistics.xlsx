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9096D5A96E4642/Documents/"/>
    </mc:Choice>
  </mc:AlternateContent>
  <xr:revisionPtr revIDLastSave="0" documentId="8_{8FD5B727-4D0F-7949-B15E-D9D93E33B327}" xr6:coauthVersionLast="47" xr6:coauthVersionMax="47" xr10:uidLastSave="{00000000-0000-0000-0000-000000000000}"/>
  <bookViews>
    <workbookView xWindow="-120" yWindow="480" windowWidth="29040" windowHeight="15120" firstSheet="8" activeTab="9" xr2:uid="{719D9BE8-3027-4E14-92A7-A1B97BFF9BDC}"/>
  </bookViews>
  <sheets>
    <sheet name="Volunteers 2024" sheetId="1" r:id="rId1"/>
    <sheet name="Possible Vendors List 2024" sheetId="4" r:id="rId2"/>
    <sheet name="Possible Vendors List 2025" sheetId="9" r:id="rId3"/>
    <sheet name="2026 Table Name &amp; Numbers-signs" sheetId="13" r:id="rId4"/>
    <sheet name="Possible Sponsors" sheetId="5" r:id="rId5"/>
    <sheet name="Financial" sheetId="2" r:id="rId6"/>
    <sheet name="Publicity List" sheetId="3" r:id="rId7"/>
    <sheet name="Resource Check-in 2024" sheetId="6" r:id="rId8"/>
    <sheet name="Volunteers 2025" sheetId="10" r:id="rId9"/>
    <sheet name="2026 Vendor Requests" sheetId="14" r:id="rId10"/>
    <sheet name="Volunteers 2026" sheetId="11" r:id="rId11"/>
    <sheet name="Sheet1" sheetId="15" r:id="rId12"/>
  </sheets>
  <definedNames>
    <definedName name="_xlnm._FilterDatabase" localSheetId="3" hidden="1">'2026 Table Name &amp; Numbers-signs'!$A$2:$B$1003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2" l="1"/>
  <c r="E56" i="2"/>
  <c r="E57" i="2"/>
  <c r="E47" i="2"/>
  <c r="E48" i="2"/>
  <c r="E49" i="2"/>
  <c r="E50" i="2"/>
  <c r="E51" i="2"/>
  <c r="E52" i="2"/>
  <c r="E53" i="2"/>
  <c r="E54" i="2"/>
  <c r="E46" i="2"/>
  <c r="E40" i="2"/>
  <c r="E41" i="2"/>
  <c r="E42" i="2"/>
  <c r="E43" i="2"/>
  <c r="E44" i="2"/>
  <c r="E45" i="2"/>
  <c r="J40" i="11"/>
  <c r="G40" i="11"/>
  <c r="F40" i="11"/>
  <c r="E40" i="11"/>
  <c r="I38" i="1"/>
  <c r="H38" i="1"/>
  <c r="G38" i="1"/>
  <c r="F38" i="1"/>
  <c r="E38" i="1"/>
  <c r="D38" i="1"/>
  <c r="J38" i="1"/>
  <c r="K40" i="11"/>
</calcChain>
</file>

<file path=xl/sharedStrings.xml><?xml version="1.0" encoding="utf-8"?>
<sst xmlns="http://schemas.openxmlformats.org/spreadsheetml/2006/main" count="1693" uniqueCount="977">
  <si>
    <t>Disability Community Resource Fair T-Shirt Sizes</t>
  </si>
  <si>
    <t>Small</t>
  </si>
  <si>
    <t>Med</t>
  </si>
  <si>
    <t>Large</t>
  </si>
  <si>
    <t>XL</t>
  </si>
  <si>
    <t>2XL</t>
  </si>
  <si>
    <t>3XL</t>
  </si>
  <si>
    <t>Name</t>
  </si>
  <si>
    <t>Sam Hall</t>
  </si>
  <si>
    <t>Volunteer Position</t>
  </si>
  <si>
    <t>Co-Chair</t>
  </si>
  <si>
    <t>In-Kind Donor</t>
  </si>
  <si>
    <t>Emily Hall</t>
  </si>
  <si>
    <t>Mary Benton</t>
  </si>
  <si>
    <t>Quiet Room</t>
  </si>
  <si>
    <t>Kathy Reis</t>
  </si>
  <si>
    <t>Helen Bartlett</t>
  </si>
  <si>
    <t>Coloring Area</t>
  </si>
  <si>
    <t>Sandy Yost</t>
  </si>
  <si>
    <t>Sarah Bartlett</t>
  </si>
  <si>
    <t>Lego Area</t>
  </si>
  <si>
    <t>Additional Parking Lot</t>
  </si>
  <si>
    <t>Main Parking Lot (Entrance)</t>
  </si>
  <si>
    <t>Welcome (Bags)</t>
  </si>
  <si>
    <t>SPONSOR SHIRTS</t>
  </si>
  <si>
    <t>The Bodhana Group</t>
  </si>
  <si>
    <t>Nour</t>
  </si>
  <si>
    <t>All American Home Care</t>
  </si>
  <si>
    <t xml:space="preserve">Austill's </t>
  </si>
  <si>
    <t>$500 - Gold</t>
  </si>
  <si>
    <t>$250-Pending</t>
  </si>
  <si>
    <t>$250 -Silver</t>
  </si>
  <si>
    <t>Deposit</t>
  </si>
  <si>
    <t>Withdrawal</t>
  </si>
  <si>
    <t>Balance</t>
  </si>
  <si>
    <t>Financial Summary</t>
  </si>
  <si>
    <t>Date</t>
  </si>
  <si>
    <t xml:space="preserve"> </t>
  </si>
  <si>
    <t>Email</t>
  </si>
  <si>
    <t>Lead time</t>
  </si>
  <si>
    <t>Publicity List</t>
  </si>
  <si>
    <t>Phone</t>
  </si>
  <si>
    <t>Becky Schreiber</t>
  </si>
  <si>
    <t>bshreiber@bestversionmedia.com</t>
  </si>
  <si>
    <t>To Submit:</t>
  </si>
  <si>
    <t>https://www.bestversionmedia.com/submit-content/</t>
  </si>
  <si>
    <t>Media Type</t>
  </si>
  <si>
    <t>Hampden Neighbors Magazine</t>
  </si>
  <si>
    <t>Vendor Parking Lot (Top)</t>
  </si>
  <si>
    <t>Robin Dixon</t>
  </si>
  <si>
    <t>Sam DeSantos</t>
  </si>
  <si>
    <t>Welcome (Greeter/Programs)</t>
  </si>
  <si>
    <t>Leta DeSantos</t>
  </si>
  <si>
    <t>Face Painting/Vendor Help</t>
  </si>
  <si>
    <t>Quiet Room/Vendor Help</t>
  </si>
  <si>
    <t>Main Parking Lot (Hill)/Vendor Help</t>
  </si>
  <si>
    <t>Miriam Dixon</t>
  </si>
  <si>
    <t>New Hope-Tom</t>
  </si>
  <si>
    <t>TOTALS</t>
  </si>
  <si>
    <t>ABC Community Calendar</t>
  </si>
  <si>
    <t>On Air Community Calendar</t>
  </si>
  <si>
    <t>NBC Lancaster</t>
  </si>
  <si>
    <t>CBS</t>
  </si>
  <si>
    <t>Fox-York</t>
  </si>
  <si>
    <t>Update Facebook</t>
  </si>
  <si>
    <t>Next Door</t>
  </si>
  <si>
    <t>New Hope</t>
  </si>
  <si>
    <t>Mechanicsburg School District</t>
  </si>
  <si>
    <t>West Shore School District</t>
  </si>
  <si>
    <t>Cumberland Valley School Dist</t>
  </si>
  <si>
    <t>The Bodhana Group $500</t>
  </si>
  <si>
    <t>Austill's $250</t>
  </si>
  <si>
    <t>Staples - Yard Signs 18 x 24 (14)</t>
  </si>
  <si>
    <t>Co-Chair/Vendor Check-in</t>
  </si>
  <si>
    <t>Disability Community Resource Fair Potential Vendor List</t>
  </si>
  <si>
    <t>If email is yellow-form sent</t>
  </si>
  <si>
    <t>Company/Organization</t>
  </si>
  <si>
    <t>Contact Name</t>
  </si>
  <si>
    <t>Contact Email</t>
  </si>
  <si>
    <t>Contact Phone</t>
  </si>
  <si>
    <t>Company/Organization Website</t>
  </si>
  <si>
    <t>Focus</t>
  </si>
  <si>
    <t>Institute on Disabilities/Temple University</t>
  </si>
  <si>
    <t>Stacy Phillips</t>
  </si>
  <si>
    <t>Stacy.phillips@temple.edu</t>
  </si>
  <si>
    <t>215-204-3373</t>
  </si>
  <si>
    <t>Deaf Services, Education &amp; Leadership</t>
  </si>
  <si>
    <t>Tower Behavioral Health</t>
  </si>
  <si>
    <t>Lisa Pangborn</t>
  </si>
  <si>
    <t>Lisa.Pangborn@BelmontBehavioral.com</t>
  </si>
  <si>
    <t>215-718-6711</t>
  </si>
  <si>
    <t>www.BelmontBehavioral.com</t>
  </si>
  <si>
    <t>Saint Joseph's University</t>
  </si>
  <si>
    <t>Sara Corley</t>
  </si>
  <si>
    <t>scorley@sju.edu</t>
  </si>
  <si>
    <t>610-660-3164</t>
  </si>
  <si>
    <t>www.sju.edu</t>
  </si>
  <si>
    <t>College</t>
  </si>
  <si>
    <t>Inspire 4 Hope</t>
  </si>
  <si>
    <t>Vanessa Howard</t>
  </si>
  <si>
    <t>contact@inspire4hope.org</t>
  </si>
  <si>
    <t>484-656-7913</t>
  </si>
  <si>
    <t>www.inspire4hope.org</t>
  </si>
  <si>
    <t>Advocacy, respite, support</t>
  </si>
  <si>
    <t>Camp Lee Mar</t>
  </si>
  <si>
    <t>Ari Segal, Camp Director</t>
  </si>
  <si>
    <t>ari@leemar.com</t>
  </si>
  <si>
    <t>215-658-1708</t>
  </si>
  <si>
    <t>www.leemar.com</t>
  </si>
  <si>
    <t>Special Needs Camp</t>
  </si>
  <si>
    <t>Peal Center</t>
  </si>
  <si>
    <t>Lorie Brew &amp; Jackie White</t>
  </si>
  <si>
    <t>Lbrew@pealcenter.org; jwhite@pealcenter.org</t>
  </si>
  <si>
    <t>www.pealcenter.org</t>
  </si>
  <si>
    <t>Youth &amp; Young Adults</t>
  </si>
  <si>
    <t>Kaleidoscope Family Solutions</t>
  </si>
  <si>
    <t>Kelly Nydegger</t>
  </si>
  <si>
    <t>knydegger@kfamilysolutions.org</t>
  </si>
  <si>
    <t>877-384-1729</t>
  </si>
  <si>
    <t>www.KFamilySolutions.org</t>
  </si>
  <si>
    <t>Behavioral Supports/Community Supports/Respite</t>
  </si>
  <si>
    <t>The Art of Friendship</t>
  </si>
  <si>
    <t>Mike Fogel</t>
  </si>
  <si>
    <t>mike@ChildAndFamilyArtTherapyCenter.com</t>
  </si>
  <si>
    <t>www.ArtofFriendshipSocialskills.com</t>
  </si>
  <si>
    <t>Art Therapy</t>
  </si>
  <si>
    <t>CPARC</t>
  </si>
  <si>
    <t>Tori Manning</t>
  </si>
  <si>
    <t>tmanning@cparc.org</t>
  </si>
  <si>
    <t>Vision Resource Center</t>
  </si>
  <si>
    <t>Chloe Miller</t>
  </si>
  <si>
    <t>cmiller@vrocp.org</t>
  </si>
  <si>
    <t>Kait Gillis</t>
  </si>
  <si>
    <t>kait@gillishanna.com</t>
  </si>
  <si>
    <t>Babineau Opticians</t>
  </si>
  <si>
    <t>babineauopticians@gmail.com</t>
  </si>
  <si>
    <t>Carlisle Bowen Works</t>
  </si>
  <si>
    <t>Nancy Bittinger</t>
  </si>
  <si>
    <t>nbittinger@comcast.net</t>
  </si>
  <si>
    <t>Holistic Health</t>
  </si>
  <si>
    <t>Messiah University</t>
  </si>
  <si>
    <t>Amy Slody</t>
  </si>
  <si>
    <t>aslody@messiah.edu</t>
  </si>
  <si>
    <t>Commuter Services of PA</t>
  </si>
  <si>
    <t>Kandi Fox</t>
  </si>
  <si>
    <t>kandi.fox@PaCommuterServices.org</t>
  </si>
  <si>
    <t>717-341-5740</t>
  </si>
  <si>
    <t>Transportation Resource</t>
  </si>
  <si>
    <t>Keystone Human Services</t>
  </si>
  <si>
    <t>Amira LaGray</t>
  </si>
  <si>
    <t>alagray@khs.org</t>
  </si>
  <si>
    <t>24/7 Care</t>
  </si>
  <si>
    <t>PA Lifeshare, LLC</t>
  </si>
  <si>
    <t>Alyssa Rissinger</t>
  </si>
  <si>
    <t>info@palifeshare.com</t>
  </si>
  <si>
    <t>Growing in Motion</t>
  </si>
  <si>
    <t>Marybeth Brown</t>
  </si>
  <si>
    <t>marybethbrown@earlybirdtherapy.org</t>
  </si>
  <si>
    <t>Hershey Twizzles</t>
  </si>
  <si>
    <t>Learntoskate@hersheyfigureskating.org</t>
  </si>
  <si>
    <t>SPUNK</t>
  </si>
  <si>
    <t>Emilie Matthews</t>
  </si>
  <si>
    <t>emiliejmatthews@gmail.com</t>
  </si>
  <si>
    <t>Parent Support group</t>
  </si>
  <si>
    <t>Aspergers Social Group</t>
  </si>
  <si>
    <t>Jim Zoerkler</t>
  </si>
  <si>
    <t>aspergerssocialgroupfrco@gmail.com</t>
  </si>
  <si>
    <t>603-499-0877</t>
  </si>
  <si>
    <t>Cumberland County</t>
  </si>
  <si>
    <t>Ginger Monsted</t>
  </si>
  <si>
    <t>thelink@cumberlandcountypa.gov</t>
  </si>
  <si>
    <t>Mobilitons</t>
  </si>
  <si>
    <t>Sue</t>
  </si>
  <si>
    <t>umber@ehomehealthcare.com</t>
  </si>
  <si>
    <t>717-781-2025</t>
  </si>
  <si>
    <t>www.mobilitions.com</t>
  </si>
  <si>
    <t>Medicare Contact to Care</t>
  </si>
  <si>
    <t>Debra Weyant</t>
  </si>
  <si>
    <t>dweyant@sadlerhealth.org</t>
  </si>
  <si>
    <t>717-960-4328</t>
  </si>
  <si>
    <t>Alder Health Services</t>
  </si>
  <si>
    <t>info@alderhealth.org</t>
  </si>
  <si>
    <t>Community Services Group</t>
  </si>
  <si>
    <t>info@csgonline.org</t>
  </si>
  <si>
    <t>Valley Counseling Center</t>
  </si>
  <si>
    <t>info@valleycounselingcenter.com</t>
  </si>
  <si>
    <t>Children's Dyslexia Centers of Central PA</t>
  </si>
  <si>
    <t>HarrisburgDirectors@CDCInc.org</t>
  </si>
  <si>
    <t>Dr. Nancy Patrick</t>
  </si>
  <si>
    <t>office@drnancypatrick.com</t>
  </si>
  <si>
    <t>Autism Society Greater Harrisburg Area</t>
  </si>
  <si>
    <t>contact@autismharrisburg.com</t>
  </si>
  <si>
    <t>Autistic Self Advocacy Network</t>
  </si>
  <si>
    <t>info@autisticadvocacy.org</t>
  </si>
  <si>
    <t>Disability Pride</t>
  </si>
  <si>
    <t>info@DisabilityPridePA.org</t>
  </si>
  <si>
    <t>PA Tourette Sydrome Alliance</t>
  </si>
  <si>
    <t>info@patsainc.org</t>
  </si>
  <si>
    <t>ACRES Project</t>
  </si>
  <si>
    <t>info@acresproject.org</t>
  </si>
  <si>
    <t>814-777-1336</t>
  </si>
  <si>
    <t xml:space="preserve"> Therapy &amp; Counseling Services</t>
  </si>
  <si>
    <t>tcs@patcs.com</t>
  </si>
  <si>
    <t>717-761-4754</t>
  </si>
  <si>
    <t>Occupational or Feeding Therapy Services</t>
  </si>
  <si>
    <t>Discover Pelvic Health &amp; Wellness</t>
  </si>
  <si>
    <t>Megan Miller</t>
  </si>
  <si>
    <t>meganmiller.pelvicpt@gmail.com</t>
  </si>
  <si>
    <t>717-585-0046</t>
  </si>
  <si>
    <t>Julianna Ortiz PA LPC</t>
  </si>
  <si>
    <t>Julianna Ortiz</t>
  </si>
  <si>
    <t>JOGrow154@proton.me</t>
  </si>
  <si>
    <t>717-910-1440</t>
  </si>
  <si>
    <t>Therapist specializing in Neurodiversity</t>
  </si>
  <si>
    <t>Capital Area Intermediate Unit</t>
  </si>
  <si>
    <t>info@caiu.org</t>
  </si>
  <si>
    <t>717-732-8400</t>
  </si>
  <si>
    <t>Central PA Therapy Connections</t>
  </si>
  <si>
    <t>Jamie Hunter</t>
  </si>
  <si>
    <t>speech@cpatherapyconnections.com</t>
  </si>
  <si>
    <t>717-449-4854</t>
  </si>
  <si>
    <t>Pediatric screening</t>
  </si>
  <si>
    <t>Reale Writes</t>
  </si>
  <si>
    <t>Alessandro Reale</t>
  </si>
  <si>
    <t>Realewrites@gmail.com</t>
  </si>
  <si>
    <t xml:space="preserve">Author </t>
  </si>
  <si>
    <t>Maximus</t>
  </si>
  <si>
    <t>yorkhomecare@maxhealth.com</t>
  </si>
  <si>
    <t>Hiram G Andrews Center</t>
  </si>
  <si>
    <t>cti.hgac@pa.gov</t>
  </si>
  <si>
    <t>Technical School</t>
  </si>
  <si>
    <t>Paper Pie Books</t>
  </si>
  <si>
    <t>Brooke Nutting</t>
  </si>
  <si>
    <t>Bnutting.paperpie@gmail.com</t>
  </si>
  <si>
    <t>Apraxia Kids</t>
  </si>
  <si>
    <t>Trish Mayro</t>
  </si>
  <si>
    <t>TrishM@apraxia-kids.org</t>
  </si>
  <si>
    <t>Capital Area Employment 1st</t>
  </si>
  <si>
    <t>capitalareaemployment1st@gmail.com</t>
  </si>
  <si>
    <t>National Association of Mental Illness</t>
  </si>
  <si>
    <t>nami.cp.pa@gmail.com</t>
  </si>
  <si>
    <t>familysupportservices@ucpcentralpa.org</t>
  </si>
  <si>
    <t>Shields Driving</t>
  </si>
  <si>
    <t>shieldsdriving@gmail.com</t>
  </si>
  <si>
    <t>Autism Village</t>
  </si>
  <si>
    <t>Topher Wurts</t>
  </si>
  <si>
    <t>twurts@me.com</t>
  </si>
  <si>
    <t>Mission Autism Clinic</t>
  </si>
  <si>
    <t>info@missionautismclinics.com</t>
  </si>
  <si>
    <t>Keystone Elder Law</t>
  </si>
  <si>
    <t>Kelly Coons</t>
  </si>
  <si>
    <t>KCoons@keystoneelderlaw.com</t>
  </si>
  <si>
    <t>BOLD, Inc</t>
  </si>
  <si>
    <t>Kim</t>
  </si>
  <si>
    <t>info@boldinc.org</t>
  </si>
  <si>
    <t>Helping Hands</t>
  </si>
  <si>
    <t>Alesha Seternus</t>
  </si>
  <si>
    <t>alesha@hhfamily.com</t>
  </si>
  <si>
    <t>Maranatha</t>
  </si>
  <si>
    <t>Tammie Gitt</t>
  </si>
  <si>
    <t>tgitt@maranatha-carlisle.org</t>
  </si>
  <si>
    <t>MH/IDD Cumberland County</t>
  </si>
  <si>
    <t>Jamie Yingling;Jason Sullivan</t>
  </si>
  <si>
    <t>jlyingling@cumberlandcountypa.gov;jasullivan@cumberlandcountypa.gov</t>
  </si>
  <si>
    <t>Community for Community Resources</t>
  </si>
  <si>
    <t>Jessica Ingersoll</t>
  </si>
  <si>
    <t>jingersoll@ccrinfo.org</t>
  </si>
  <si>
    <t>Spectrum Friends</t>
  </si>
  <si>
    <t>Thomas Hassell</t>
  </si>
  <si>
    <t>tfh61@yahoo.com</t>
  </si>
  <si>
    <t>Dauphin County Human Services Director's Office</t>
  </si>
  <si>
    <t>April Rudick</t>
  </si>
  <si>
    <t>arudick@dauphincounty.gov</t>
  </si>
  <si>
    <t>Concussion Services</t>
  </si>
  <si>
    <t>Jennifer Cromer, PhD</t>
  </si>
  <si>
    <t>cromerj@upmc.edu</t>
  </si>
  <si>
    <t>717-791-2620</t>
  </si>
  <si>
    <t>Neuropsychologist</t>
  </si>
  <si>
    <t>Disability Task Force-UMC Susquehanna Conference</t>
  </si>
  <si>
    <t>Reverend Rebecca Holland</t>
  </si>
  <si>
    <t>rholland@susumc.org</t>
  </si>
  <si>
    <t>814-942-5586</t>
  </si>
  <si>
    <t>Rejoicing Spirits - FUMC</t>
  </si>
  <si>
    <t>Karin McHale</t>
  </si>
  <si>
    <t>karinmch@comcast.net</t>
  </si>
  <si>
    <t>717-379-8329</t>
  </si>
  <si>
    <t>Mighty Communicators</t>
  </si>
  <si>
    <t>Marcy Pendleton</t>
  </si>
  <si>
    <t>dwumarcyslp@gmail.com</t>
  </si>
  <si>
    <t>At Your Service</t>
  </si>
  <si>
    <t>Dianne M</t>
  </si>
  <si>
    <t>diannem@pa.net</t>
  </si>
  <si>
    <t>717-774-4489</t>
  </si>
  <si>
    <t>LIFE program in Cumberland</t>
  </si>
  <si>
    <t>MaryLynn Hawk</t>
  </si>
  <si>
    <t>MaryLynn.Hawk@albrightcare.org</t>
  </si>
  <si>
    <t>Unable to Attend</t>
  </si>
  <si>
    <t>Families CCAN</t>
  </si>
  <si>
    <t>Sara Crimm</t>
  </si>
  <si>
    <t>saracrimm.FamiliesCCAN@gmail.com</t>
  </si>
  <si>
    <t>215-280-2758</t>
  </si>
  <si>
    <t>www.familiesccanphilly.org</t>
  </si>
  <si>
    <t>Adult services</t>
  </si>
  <si>
    <t xml:space="preserve">Unable to attend </t>
  </si>
  <si>
    <t>Disability Empowerment Center</t>
  </si>
  <si>
    <t>Katrina Stirn</t>
  </si>
  <si>
    <t>kstirn@decpa.org</t>
  </si>
  <si>
    <t>REGISTERED</t>
  </si>
  <si>
    <t>Developmental Fitness</t>
  </si>
  <si>
    <t>Dr. Sean Hanley,DPT, ATC</t>
  </si>
  <si>
    <t>Seanhanley221@gmail.com</t>
  </si>
  <si>
    <t xml:space="preserve">215 527 2475 </t>
  </si>
  <si>
    <t>www.developmentalfitness.com</t>
  </si>
  <si>
    <t>Fitness</t>
  </si>
  <si>
    <t>Meatball Man/Hoagie Boy</t>
  </si>
  <si>
    <t>www.meatballmanhoagieboy.com</t>
  </si>
  <si>
    <t>Downs Syndrome</t>
  </si>
  <si>
    <t>Horizons</t>
  </si>
  <si>
    <t>Demetra Luciano-Eve</t>
  </si>
  <si>
    <t>demetraluciano@gmail.com</t>
  </si>
  <si>
    <t>Austill's Educational Therapy Services</t>
  </si>
  <si>
    <t>Laura Boyle-Nester</t>
  </si>
  <si>
    <t>laurab@austills.com</t>
  </si>
  <si>
    <t>610-329-9282</t>
  </si>
  <si>
    <t>www.austills.com</t>
  </si>
  <si>
    <t>Specialized Education Therapy Services</t>
  </si>
  <si>
    <t>Purdy Law</t>
  </si>
  <si>
    <t>Kristy Darby</t>
  </si>
  <si>
    <t>(717) 221-8303</t>
  </si>
  <si>
    <t>Educational Advocate</t>
  </si>
  <si>
    <t>ASERT</t>
  </si>
  <si>
    <t>Christine Wiercinski</t>
  </si>
  <si>
    <t>cwiercinski@pennstatehealth.psu.edu</t>
  </si>
  <si>
    <t>Kidz Therapy Zone</t>
  </si>
  <si>
    <t>Courtney Legrand</t>
  </si>
  <si>
    <t>courtneym@ktherapyzone.com</t>
  </si>
  <si>
    <t>Focused Approach</t>
  </si>
  <si>
    <t>Alyson Kuritz</t>
  </si>
  <si>
    <t>alyson@focusedapproach.com</t>
  </si>
  <si>
    <t>International Dyslexia Association</t>
  </si>
  <si>
    <t>Jessica McKee</t>
  </si>
  <si>
    <t>president@pbida.org</t>
  </si>
  <si>
    <t>The Pod Play Café</t>
  </si>
  <si>
    <t>Jozay Finazzo</t>
  </si>
  <si>
    <t>thepodplaycafepa@gmail.com</t>
  </si>
  <si>
    <t>Bodhana Group</t>
  </si>
  <si>
    <t>Jack Berkenstock</t>
  </si>
  <si>
    <t>thebodhanagroup@gmail.com</t>
  </si>
  <si>
    <t>Beneficial board games for therapists</t>
  </si>
  <si>
    <t>Discovery Toys</t>
  </si>
  <si>
    <t>Trina Kincade</t>
  </si>
  <si>
    <t>trinaneal21@gmail.com</t>
  </si>
  <si>
    <t>National Financial Network</t>
  </si>
  <si>
    <t>Sean Sykes</t>
  </si>
  <si>
    <t>sean.sykes@natfin.net</t>
  </si>
  <si>
    <t>215-628-6178</t>
  </si>
  <si>
    <t>Financial Planning</t>
  </si>
  <si>
    <t>OT &amp; Me</t>
  </si>
  <si>
    <t>Joanna Jacobs</t>
  </si>
  <si>
    <t>OTandMePa@gmail.com</t>
  </si>
  <si>
    <t>Parent to Parent</t>
  </si>
  <si>
    <t>Maggie Parke</t>
  </si>
  <si>
    <t>mparke@parenttoparent.org</t>
  </si>
  <si>
    <t>717-994-4243</t>
  </si>
  <si>
    <t>www.parenttoparent.org</t>
  </si>
  <si>
    <t>Parent support</t>
  </si>
  <si>
    <t>1847 Financial</t>
  </si>
  <si>
    <t>Pat Bergmaier</t>
  </si>
  <si>
    <t>pbergmaier@1847financial.com</t>
  </si>
  <si>
    <t>609-947-6920</t>
  </si>
  <si>
    <t>Special Needs Financial Planning</t>
  </si>
  <si>
    <t>Neurodiverse Network</t>
  </si>
  <si>
    <t>Leann Firestone</t>
  </si>
  <si>
    <t>Leann@NDNet.org</t>
  </si>
  <si>
    <t>Outward in Learning</t>
  </si>
  <si>
    <t>Darryl Williams</t>
  </si>
  <si>
    <t>Darryl@outwardinlearning.com</t>
  </si>
  <si>
    <t>www.outwardinlearning.com</t>
  </si>
  <si>
    <t>Online/Virtual Coaching for college &amp; beyond</t>
  </si>
  <si>
    <t>One Well</t>
  </si>
  <si>
    <t>Nicole Fleet</t>
  </si>
  <si>
    <t>nicole.fleet@onewell.org</t>
  </si>
  <si>
    <t>Center for Independent Living of Central PA</t>
  </si>
  <si>
    <t>Shasta Stine</t>
  </si>
  <si>
    <t>sstine@cilcp.org</t>
  </si>
  <si>
    <t>My All American Care</t>
  </si>
  <si>
    <t>Michelle Stehman</t>
  </si>
  <si>
    <t>mstehman@myallamericancare.com</t>
  </si>
  <si>
    <t>HLAA Capital Region Chapter</t>
  </si>
  <si>
    <t>Augusta Spandler</t>
  </si>
  <si>
    <t>HLAACapitalRegionChapter@yahoo.com</t>
  </si>
  <si>
    <t>OVR - Office of Vocational Rehab</t>
  </si>
  <si>
    <t>Janelle Miller</t>
  </si>
  <si>
    <t>janemiller@pa.gov</t>
  </si>
  <si>
    <t>Music Together with Alyssa</t>
  </si>
  <si>
    <t>Alyssa Arter</t>
  </si>
  <si>
    <t>musictogetherwithalyssa@gmail.com</t>
  </si>
  <si>
    <t>Company Name</t>
  </si>
  <si>
    <t>Contact</t>
  </si>
  <si>
    <t>Website</t>
  </si>
  <si>
    <t>Footlocker</t>
  </si>
  <si>
    <t>Mike Fasnacht</t>
  </si>
  <si>
    <t>Mfasnacht@footlocker.com</t>
  </si>
  <si>
    <t>Steel City Spine Orthopedic Center</t>
  </si>
  <si>
    <t>Brittany Mehls</t>
  </si>
  <si>
    <t>Bericson94@gmail.com</t>
  </si>
  <si>
    <t>Lavery Law, Harrisburg, PA</t>
  </si>
  <si>
    <t>Frank Lavery Jr.-Atty</t>
  </si>
  <si>
    <t>info@laverylaw.com</t>
  </si>
  <si>
    <t>Thomas E. Brown-Auto Body Shop</t>
  </si>
  <si>
    <t>Shop Manager</t>
  </si>
  <si>
    <t>Shop@Brownsautobody.net</t>
  </si>
  <si>
    <t>TKS Architects</t>
  </si>
  <si>
    <t>Bolger Remodeling</t>
  </si>
  <si>
    <t>info@bolgerremodeling.com</t>
  </si>
  <si>
    <t>Boles Metzger Brosius</t>
  </si>
  <si>
    <t>Deanna Boles</t>
  </si>
  <si>
    <t>DeannaBoles@bmbw.cpa</t>
  </si>
  <si>
    <t>www.bmbw.cpa</t>
  </si>
  <si>
    <t>Cindy Armour-Helm</t>
  </si>
  <si>
    <t>cindyarmourhelm@gmail.com</t>
  </si>
  <si>
    <t>John Neifert</t>
  </si>
  <si>
    <t>Jack</t>
  </si>
  <si>
    <t>Susquehanna Conference-Harrisburg District</t>
  </si>
  <si>
    <t>Harrisburg@Susumc.org</t>
  </si>
  <si>
    <t>Ilene Schwartz</t>
  </si>
  <si>
    <t>UCP of Central PA</t>
  </si>
  <si>
    <t>Kelli Fry</t>
  </si>
  <si>
    <t>AmeriHealth Caritus</t>
  </si>
  <si>
    <t>Kimberly Lucas</t>
  </si>
  <si>
    <t>klucas@amerihealthcaritaspa.com</t>
  </si>
  <si>
    <t>Done</t>
  </si>
  <si>
    <t>emkishpaugh@verizon.net</t>
  </si>
  <si>
    <t>Erica Kishpaugh</t>
  </si>
  <si>
    <t>717-425-6280</t>
  </si>
  <si>
    <t>Pastor Jean Felty</t>
  </si>
  <si>
    <t>Suzanna Ianuzzi &amp; Tilda-Miseno's</t>
  </si>
  <si>
    <t>$125-Bronze</t>
  </si>
  <si>
    <t>Nathan Chan</t>
  </si>
  <si>
    <t>info@legupfarm.org</t>
  </si>
  <si>
    <t>Leg Up Farm</t>
  </si>
  <si>
    <t>customerservice@getairsports.com</t>
  </si>
  <si>
    <t>Get Air Trampoline</t>
  </si>
  <si>
    <t>info@eagle-fc.com</t>
  </si>
  <si>
    <t>Soccer</t>
  </si>
  <si>
    <t>chlittleleague@gmail.com</t>
  </si>
  <si>
    <t>Camp Hill Challenger League</t>
  </si>
  <si>
    <t>Bobbi@CheerTyme.com</t>
  </si>
  <si>
    <t>Cheer Tyme</t>
  </si>
  <si>
    <t>pastor.fairbic@gmail.com</t>
  </si>
  <si>
    <t>Special Needs Ministry-Fairview BIC</t>
  </si>
  <si>
    <t>Daughters of the Nile</t>
  </si>
  <si>
    <t>Eastern Star</t>
  </si>
  <si>
    <t>Eureka Lodge</t>
  </si>
  <si>
    <t>Steel City</t>
  </si>
  <si>
    <t>Rev. Holland- Susquehanna UMC</t>
  </si>
  <si>
    <t>Upper Allen Police Department</t>
  </si>
  <si>
    <t>C Desiderio</t>
  </si>
  <si>
    <t>cdesiderio@upperallenpolice.com</t>
  </si>
  <si>
    <t>Lowes (Reimb:Gloria Vollert) 24 x 36 signs (2)</t>
  </si>
  <si>
    <t>Amazon: Facepaint</t>
  </si>
  <si>
    <t>Gloria Vollert</t>
  </si>
  <si>
    <t>Bonnie Mehls</t>
  </si>
  <si>
    <t>Kurt Vollert</t>
  </si>
  <si>
    <t>Alex Vollert</t>
  </si>
  <si>
    <t>The Bodhana Group-Jack</t>
  </si>
  <si>
    <t>Nour-Kait</t>
  </si>
  <si>
    <t>All American Home Care-Michelle</t>
  </si>
  <si>
    <t>NA</t>
  </si>
  <si>
    <t>Extra shirts</t>
  </si>
  <si>
    <t>See Below</t>
  </si>
  <si>
    <t>Brittany Mehls (M)</t>
  </si>
  <si>
    <t>Kelton Mehls (2X)</t>
  </si>
  <si>
    <t>Spiritual HeArts</t>
  </si>
  <si>
    <t>Jennifer Rabenstein</t>
  </si>
  <si>
    <t>717)756-7079</t>
  </si>
  <si>
    <t>jenniferrandr@yahoo.com</t>
  </si>
  <si>
    <t>http://www.spiritualheartsllc.com/</t>
  </si>
  <si>
    <t>Arts</t>
  </si>
  <si>
    <t>Steel City orthopedic &amp; spine center (Brittany &amp; Kelton)</t>
  </si>
  <si>
    <t>Rehoboth T-shirts</t>
  </si>
  <si>
    <t>The Savings Guide</t>
  </si>
  <si>
    <t>Clara /Jackie</t>
  </si>
  <si>
    <t>ads@reacheverymailbox.com</t>
  </si>
  <si>
    <t>717-691-1044</t>
  </si>
  <si>
    <t>Ozemb52Recorder@hotmail.com</t>
  </si>
  <si>
    <t>Rev. Rebecca Holland</t>
  </si>
  <si>
    <t>Vendor Parking Lot (Bottom)Gaming Room</t>
  </si>
  <si>
    <t>Photographer/Gaming room</t>
  </si>
  <si>
    <t>Publicity</t>
  </si>
  <si>
    <t>Whitaker Center for the Performing Arts</t>
  </si>
  <si>
    <t>Sarah Throckmorton</t>
  </si>
  <si>
    <t>Organization Name</t>
  </si>
  <si>
    <t>Contact First Name</t>
  </si>
  <si>
    <t>Contact Last Name</t>
  </si>
  <si>
    <t>Disability Fair Committee</t>
  </si>
  <si>
    <t>Gloria</t>
  </si>
  <si>
    <t>Vollert</t>
  </si>
  <si>
    <t>Horizons Group Unlimited</t>
  </si>
  <si>
    <t>Demetra</t>
  </si>
  <si>
    <t>Luciano-Eve</t>
  </si>
  <si>
    <t>Developmental Fitness Company, LLC</t>
  </si>
  <si>
    <t>Sean</t>
  </si>
  <si>
    <t>Hanley</t>
  </si>
  <si>
    <t>Meatball Man and Hoagie Boy</t>
  </si>
  <si>
    <t>Austill's Educational Therapy Services &amp; AOT, Inc.</t>
  </si>
  <si>
    <t>Laura</t>
  </si>
  <si>
    <t>Boyle Nester</t>
  </si>
  <si>
    <t>Purdy Law Office, LLC</t>
  </si>
  <si>
    <t>Kristy</t>
  </si>
  <si>
    <t>Darby</t>
  </si>
  <si>
    <t>Courtney</t>
  </si>
  <si>
    <t>Legrand</t>
  </si>
  <si>
    <t>Alyson</t>
  </si>
  <si>
    <t>Kuritz</t>
  </si>
  <si>
    <t>Pennsylvania Branch of the International Dyslexia Association</t>
  </si>
  <si>
    <t>Jessica</t>
  </si>
  <si>
    <t>McKee</t>
  </si>
  <si>
    <t>The Pod Play Cafe</t>
  </si>
  <si>
    <t>Jozay</t>
  </si>
  <si>
    <t>Finazzo</t>
  </si>
  <si>
    <t>Berkenstock</t>
  </si>
  <si>
    <t>TT's Toys (Discovery Toys Sales Rep)</t>
  </si>
  <si>
    <t>Trina</t>
  </si>
  <si>
    <t>Kincade</t>
  </si>
  <si>
    <t>Sykes</t>
  </si>
  <si>
    <t>OneWell</t>
  </si>
  <si>
    <t>Nicole</t>
  </si>
  <si>
    <t>Fleet</t>
  </si>
  <si>
    <t>Parent to Parent of PA</t>
  </si>
  <si>
    <t>Maggie</t>
  </si>
  <si>
    <t>Parke</t>
  </si>
  <si>
    <t>1847Financial</t>
  </si>
  <si>
    <t>Pat</t>
  </si>
  <si>
    <t>Bergmaier</t>
  </si>
  <si>
    <t>Leann</t>
  </si>
  <si>
    <t>Firestone</t>
  </si>
  <si>
    <t>Outward In Learning</t>
  </si>
  <si>
    <t>Darryl</t>
  </si>
  <si>
    <t>Williams</t>
  </si>
  <si>
    <t>Christine</t>
  </si>
  <si>
    <t>Wiercinski</t>
  </si>
  <si>
    <t>Michelle</t>
  </si>
  <si>
    <t>Stehman</t>
  </si>
  <si>
    <t>Augusta</t>
  </si>
  <si>
    <t>Spandler</t>
  </si>
  <si>
    <t>Janelle/Pat</t>
  </si>
  <si>
    <t>Miller/Kane</t>
  </si>
  <si>
    <t>Alyssa</t>
  </si>
  <si>
    <t>Arter</t>
  </si>
  <si>
    <t>Shasta</t>
  </si>
  <si>
    <t>Stine</t>
  </si>
  <si>
    <t>The Arc of Cumberland and Perry Counties</t>
  </si>
  <si>
    <t>Holly</t>
  </si>
  <si>
    <t>Turner</t>
  </si>
  <si>
    <t>Maranatha-Carlisle</t>
  </si>
  <si>
    <t>Tammie</t>
  </si>
  <si>
    <t>Gitt</t>
  </si>
  <si>
    <t>Cumberland/Perry MH/IDD</t>
  </si>
  <si>
    <t>Melissa</t>
  </si>
  <si>
    <t>DeTraglia</t>
  </si>
  <si>
    <t>Rejoicing Spirits - First United Methodist Church, Mechanicsburg</t>
  </si>
  <si>
    <t>Karin</t>
  </si>
  <si>
    <t>McHale</t>
  </si>
  <si>
    <t>Marcy</t>
  </si>
  <si>
    <t>Pendleton</t>
  </si>
  <si>
    <t>Kelli</t>
  </si>
  <si>
    <t>Fry</t>
  </si>
  <si>
    <t>AmeriHealth Caritas</t>
  </si>
  <si>
    <t>Kimberly</t>
  </si>
  <si>
    <t>Lucas</t>
  </si>
  <si>
    <t>Upper Allen Township Police Department</t>
  </si>
  <si>
    <t>Chris</t>
  </si>
  <si>
    <t>Desiderio</t>
  </si>
  <si>
    <t>Mission Autism Clinics</t>
  </si>
  <si>
    <t>Nikki</t>
  </si>
  <si>
    <t>Hockenberry</t>
  </si>
  <si>
    <t>Kait</t>
  </si>
  <si>
    <t>Gillis</t>
  </si>
  <si>
    <t>Mobilitons - Think Mobility Independence</t>
  </si>
  <si>
    <t>Umber</t>
  </si>
  <si>
    <t>Ershad</t>
  </si>
  <si>
    <t>PEAL Center</t>
  </si>
  <si>
    <t>Lorie</t>
  </si>
  <si>
    <t>Brew</t>
  </si>
  <si>
    <t>Fairview BIC &amp; Created2Play</t>
  </si>
  <si>
    <t>Angela</t>
  </si>
  <si>
    <t>Mountz</t>
  </si>
  <si>
    <t>Therapy &amp; Counseling Services</t>
  </si>
  <si>
    <t>Andrea</t>
  </si>
  <si>
    <t>Gibson</t>
  </si>
  <si>
    <t>Thomas</t>
  </si>
  <si>
    <t>Hassell</t>
  </si>
  <si>
    <t>TechOWL</t>
  </si>
  <si>
    <t>Jackie</t>
  </si>
  <si>
    <t>Wardle</t>
  </si>
  <si>
    <t>Megan</t>
  </si>
  <si>
    <t>Miller</t>
  </si>
  <si>
    <t>The King's Table Schoolhouse</t>
  </si>
  <si>
    <t>Beverly</t>
  </si>
  <si>
    <t>Smith</t>
  </si>
  <si>
    <t>Cumberland/Perry Early Intervention</t>
  </si>
  <si>
    <t>Becky</t>
  </si>
  <si>
    <t>Kichman</t>
  </si>
  <si>
    <t>DVB Financial, LLC</t>
  </si>
  <si>
    <t>Kimberley</t>
  </si>
  <si>
    <t>Kuczawa</t>
  </si>
  <si>
    <t>RESOURCE CHECK-IN SHEET    April 6, 2024</t>
  </si>
  <si>
    <t>TABLE #</t>
  </si>
  <si>
    <t>Outside</t>
  </si>
  <si>
    <t>Kitchen</t>
  </si>
  <si>
    <t>ARRIVED</t>
  </si>
  <si>
    <t>Sen. Doug Mastriano (Adams/Franklin)</t>
  </si>
  <si>
    <t>Rep Patty Kim-Cumberland</t>
  </si>
  <si>
    <t>Rep. Torren Ecker- Cumberland</t>
  </si>
  <si>
    <t>Rep. Perry Stambaugh -Perry</t>
  </si>
  <si>
    <t>Rep Thomas Kutz-Cumberland</t>
  </si>
  <si>
    <t>Rep. Sheryl Delozier-Cumberland</t>
  </si>
  <si>
    <t>Sen Greg Rothman-Cumberland</t>
  </si>
  <si>
    <t>Rep Barb Gleim-Cumberland</t>
  </si>
  <si>
    <t>Rep Justin Fleming-Dauphin</t>
  </si>
  <si>
    <t>Sen Kristin Phillips-York</t>
  </si>
  <si>
    <t>Rep. Dan Moul-Adams</t>
  </si>
  <si>
    <t>PA Treasury Able Act</t>
  </si>
  <si>
    <t>Larry</t>
  </si>
  <si>
    <t>Booker</t>
  </si>
  <si>
    <t>Hometown Press</t>
  </si>
  <si>
    <t>Denise</t>
  </si>
  <si>
    <t>DeniseOfHTP@yahoo.com</t>
  </si>
  <si>
    <t>215-813-8361</t>
  </si>
  <si>
    <t>Emma Gazinski</t>
  </si>
  <si>
    <t>egazinski@bestversionmedia.com</t>
  </si>
  <si>
    <t>Hampden Neighbors Magazine/Cumberland Valley Silver Lining</t>
  </si>
  <si>
    <t>darby.kristy.L@gmail.com</t>
  </si>
  <si>
    <t>Pamela Purdy&lt;plpurdy@purdylawoffice.com&gt;; Allison Hastings &lt;allison@purdylawoffice.com&gt;; Susan Stanisic &lt;susan@purdylawoffice.com&gt;</t>
  </si>
  <si>
    <t>Educational Advocate (New Job)</t>
  </si>
  <si>
    <t>https://www.dmv.pa.gov/Information-Centers/Medical-Reporting/Pages/Dual-Control-Permit.aspx</t>
  </si>
  <si>
    <t>Penn Dot medical unit with adaptive technology</t>
  </si>
  <si>
    <t>emarsicano@pasen.gov</t>
  </si>
  <si>
    <t>Erin Marsicano</t>
  </si>
  <si>
    <t>KPeters@wssd.k12.pa.us</t>
  </si>
  <si>
    <t>Kristen Peters</t>
  </si>
  <si>
    <t>Dollar Tree-Lollipops</t>
  </si>
  <si>
    <t>Amazon: Camera Memory Card</t>
  </si>
  <si>
    <t>Dollar Tree-Balloons for event</t>
  </si>
  <si>
    <t>April 6, 2024 Disability Community Resource Fair</t>
  </si>
  <si>
    <t>Kristy Richardson</t>
  </si>
  <si>
    <t>krrichards@pa.gov</t>
  </si>
  <si>
    <t>PA Treasury</t>
  </si>
  <si>
    <t>Larry Booker</t>
  </si>
  <si>
    <t>lbooker@patreasury.gov</t>
  </si>
  <si>
    <t>Melissa DeTraglia, Jamie Yingling, Jason Sullivan</t>
  </si>
  <si>
    <t>jlyingling@cumberlandcountypa.gov;jasullivan@cumberlandcountypa.gov;madetraglia@cumberlandcountypa.gov</t>
  </si>
  <si>
    <t>York County MH-IDD</t>
  </si>
  <si>
    <t>Casey Darling-Horan</t>
  </si>
  <si>
    <t>cedarling-horan@yorkcountypa.gov</t>
  </si>
  <si>
    <t>Franklin County</t>
  </si>
  <si>
    <t>Becky Weaver</t>
  </si>
  <si>
    <t>rmweaver@franklincountypa.gov</t>
  </si>
  <si>
    <t>RA-PDADP@pa.gov</t>
  </si>
  <si>
    <t>PennDOT Dual Control Permit Process</t>
  </si>
  <si>
    <t>Dollar Tree-Balloon Weights</t>
  </si>
  <si>
    <t>Kristin James</t>
  </si>
  <si>
    <t>kjames@whitakercenter.org</t>
  </si>
  <si>
    <t>Reading Public Museum</t>
  </si>
  <si>
    <t>info@readingpublicmuseum.org</t>
  </si>
  <si>
    <t>membership@autismharrisburg.com</t>
  </si>
  <si>
    <t>Betsie Flynn</t>
  </si>
  <si>
    <t>March 22, 2025 Disability Community Resource Fair</t>
  </si>
  <si>
    <t>Eagle FC</t>
  </si>
  <si>
    <t>Test Donation</t>
  </si>
  <si>
    <t>2025 Possible Sponsors</t>
  </si>
  <si>
    <t>AmeriHealth $250</t>
  </si>
  <si>
    <t>ASERT $125</t>
  </si>
  <si>
    <t>Eagle FC $125</t>
  </si>
  <si>
    <t>Miriam Dixon -Website Fee</t>
  </si>
  <si>
    <t>pn_foundation@upmc.edu</t>
  </si>
  <si>
    <t>UPMC Pinnacle Foundation</t>
  </si>
  <si>
    <t>(717) 231-8080</t>
  </si>
  <si>
    <t>Beginning balance (check from ShepherdstownUMC)</t>
  </si>
  <si>
    <t>Amerihealth</t>
  </si>
  <si>
    <t>Malpezzi Funeral Home</t>
  </si>
  <si>
    <t>Amazon- Quiet Room Supplies/Sensory Stickers/Face paint/plates/paper towels</t>
  </si>
  <si>
    <t>Amazon- Napkins for Volunteer Breakroom</t>
  </si>
  <si>
    <t>Karns-lollipops</t>
  </si>
  <si>
    <t>Amazon - Boxes and raffle tickets</t>
  </si>
  <si>
    <t>Amazon - 2 Easels</t>
  </si>
  <si>
    <t>Amazon - Printing Paper</t>
  </si>
  <si>
    <t>Amazon - Star Wars Photos Backdrop</t>
  </si>
  <si>
    <t>Balloons</t>
  </si>
  <si>
    <t>2025 Disability Community Resource Fair Volunteers</t>
  </si>
  <si>
    <t>Arrival Time</t>
  </si>
  <si>
    <t>Got Shirt</t>
  </si>
  <si>
    <t>kurtglo@comcast.net</t>
  </si>
  <si>
    <t>bmehls@verizon.net</t>
  </si>
  <si>
    <t>Vendor Load in/Welcome (Greeter/Programs)</t>
  </si>
  <si>
    <t>avoll2626@gmail.com</t>
  </si>
  <si>
    <t>Melody Small</t>
  </si>
  <si>
    <t>Face Painting</t>
  </si>
  <si>
    <t>melodydsmall@gmail.com</t>
  </si>
  <si>
    <t>Mady Small</t>
  </si>
  <si>
    <t>Barbara Hamm</t>
  </si>
  <si>
    <t>Vendor Load in/Coloring</t>
  </si>
  <si>
    <t>Bekka Kreitman</t>
  </si>
  <si>
    <t>bekkakreitman@gmail.com</t>
  </si>
  <si>
    <t>Leta DeSanto</t>
  </si>
  <si>
    <t>Craft area</t>
  </si>
  <si>
    <t>letadesanto@outlook.com</t>
  </si>
  <si>
    <t>Vendor Load in/Craft Area</t>
  </si>
  <si>
    <t>r.l.dixon@comcast.net</t>
  </si>
  <si>
    <t>Vendor Load in/Photographer/Gaming room</t>
  </si>
  <si>
    <t>malaikadixon@comcast.net</t>
  </si>
  <si>
    <t>Vendor Load in/Gaming Room</t>
  </si>
  <si>
    <t>nathan.chan.zh@gmail.com</t>
  </si>
  <si>
    <t>John Bowen</t>
  </si>
  <si>
    <t>Vendor Load in Only</t>
  </si>
  <si>
    <t>bowenhome720@gmail.com</t>
  </si>
  <si>
    <t>Janice Bowen</t>
  </si>
  <si>
    <t>wecare@fumchurch.com</t>
  </si>
  <si>
    <t>Sam DeSanto</t>
  </si>
  <si>
    <t>Vendor Load in</t>
  </si>
  <si>
    <t>LetaDeSanto@outlook.com</t>
  </si>
  <si>
    <t>Al Peters</t>
  </si>
  <si>
    <t>Vendor Load in/Quiet Area</t>
  </si>
  <si>
    <t>peters6204@comcast.net</t>
  </si>
  <si>
    <t>Meribeth Peters</t>
  </si>
  <si>
    <t>David Dixon</t>
  </si>
  <si>
    <t>Garrison Photographer</t>
  </si>
  <si>
    <t>Deb Them</t>
  </si>
  <si>
    <t>pizza lady</t>
  </si>
  <si>
    <t>dthem5@yahoo.com</t>
  </si>
  <si>
    <t>Mech School District-Paul Bigham</t>
  </si>
  <si>
    <t>Mech School District- Andy Bitz</t>
  </si>
  <si>
    <t>Mech School District - Jaime Bott</t>
  </si>
  <si>
    <t>Mech School District - Alyssa Shaffer</t>
  </si>
  <si>
    <t>First UMC-Pastor Mira</t>
  </si>
  <si>
    <t>Top Soccer-Scott Cantor</t>
  </si>
  <si>
    <t>AmeriHealth- Kim</t>
  </si>
  <si>
    <t>$250-Silver</t>
  </si>
  <si>
    <t>Asert - Katie</t>
  </si>
  <si>
    <t>$150 -Bronze</t>
  </si>
  <si>
    <t>New Hope-Abby</t>
  </si>
  <si>
    <t>Malpezzi</t>
  </si>
  <si>
    <t>TOTAL</t>
  </si>
  <si>
    <t>Flyers</t>
  </si>
  <si>
    <t>Starbucks Carlisle Pike</t>
  </si>
  <si>
    <t>Karns-Lemoyne</t>
  </si>
  <si>
    <t>Isaacs-Lemoyne &amp; Mech Auto place</t>
  </si>
  <si>
    <t>Sam's Club</t>
  </si>
  <si>
    <t>Wegmans - NO</t>
  </si>
  <si>
    <t>Camp Hill UMC</t>
  </si>
  <si>
    <t>Vickery Flowers-Ann?</t>
  </si>
  <si>
    <t>Giant-Simpson Ferry - NO</t>
  </si>
  <si>
    <t>Amphenol</t>
  </si>
  <si>
    <t>Connections</t>
  </si>
  <si>
    <t>Brittney McCarthy</t>
  </si>
  <si>
    <t>brittney.mccarthy@connectionshs.com</t>
  </si>
  <si>
    <t>717-350-1742</t>
  </si>
  <si>
    <t>www.connectionshs.com</t>
  </si>
  <si>
    <t>1100 S Cameron St, Harrisburg, PA 17104</t>
  </si>
  <si>
    <t>Mental Health Care</t>
  </si>
  <si>
    <t>rachel@aspirations.agency</t>
  </si>
  <si>
    <t>Aspirations Early Intervention</t>
  </si>
  <si>
    <t>Rachel Bechtel</t>
  </si>
  <si>
    <t>717-512-8769</t>
  </si>
  <si>
    <t>info@clearpathpediatric.com</t>
  </si>
  <si>
    <t>717-506-0563</t>
  </si>
  <si>
    <t>Clear Path Pediatric Therapy</t>
  </si>
  <si>
    <t>jbott@mbgsd.org</t>
  </si>
  <si>
    <t>Jaime Bott</t>
  </si>
  <si>
    <t>Eagle FC TOPSOCCER</t>
  </si>
  <si>
    <t>clubadmin@eagle-fc.com</t>
  </si>
  <si>
    <t>717-612-8404</t>
  </si>
  <si>
    <t>Dover Recreation</t>
  </si>
  <si>
    <t>Chalet Harris</t>
  </si>
  <si>
    <t>charris@dovertownship.org</t>
  </si>
  <si>
    <t>717-324-2898</t>
  </si>
  <si>
    <t>The Belong Collective</t>
  </si>
  <si>
    <t>Haley Warner</t>
  </si>
  <si>
    <t>pastor@thebelongcollective.org</t>
  </si>
  <si>
    <t>610-969-5253</t>
  </si>
  <si>
    <t>ckrebs@uatwp.org</t>
  </si>
  <si>
    <t>Upper Allen Parks Department</t>
  </si>
  <si>
    <t>Chad Krebs, Mgr.</t>
  </si>
  <si>
    <t>Chris  Desiderio</t>
  </si>
  <si>
    <t>The Janus School</t>
  </si>
  <si>
    <t>Robin Payne</t>
  </si>
  <si>
    <t>rpayne@thejanusschool.org</t>
  </si>
  <si>
    <t>717-653-0025 est 102</t>
  </si>
  <si>
    <t>205 Lefever Road, Mount Joy, PA 17552</t>
  </si>
  <si>
    <t>jwhite@pealcenter.org</t>
  </si>
  <si>
    <t xml:space="preserve">Bodhana Group - Jack </t>
  </si>
  <si>
    <t>$125 -Bronze</t>
  </si>
  <si>
    <t xml:space="preserve">Family Heritage - Anne Marie Brandes </t>
  </si>
  <si>
    <t>Vendor Load Out Only</t>
  </si>
  <si>
    <t>Vendor Load in/RASCAL Photographer/Gaming room</t>
  </si>
  <si>
    <t>Patty Butterworth</t>
  </si>
  <si>
    <t>Vendor Load-in/Event Photographer</t>
  </si>
  <si>
    <t>Vendor Load in/Coloring Bags</t>
  </si>
  <si>
    <t>Volunteer Check-in/Welcome (Greeter/Drawing Tickets)</t>
  </si>
  <si>
    <t>Kira Fernandez</t>
  </si>
  <si>
    <t>Ryleigh Trump</t>
  </si>
  <si>
    <t>27trumpr@masdstudent.org</t>
  </si>
  <si>
    <t>Vendor Load-in/Craft area</t>
  </si>
  <si>
    <t>Dee</t>
  </si>
  <si>
    <t xml:space="preserve">Jaime </t>
  </si>
  <si>
    <t>Facebook page &amp; meeting</t>
  </si>
  <si>
    <t>Submit event by 25th of each month for issue 2 months out.</t>
  </si>
  <si>
    <t>Sen Lynda Schlegel Culver (27th Senatorial District</t>
  </si>
  <si>
    <t>Ann Gargiulo</t>
  </si>
  <si>
    <t>agargiulo@pasen.gov</t>
  </si>
  <si>
    <t>Rep. Dawn Keefer</t>
  </si>
  <si>
    <t>Amy Holjes</t>
  </si>
  <si>
    <t>aholjes@pasen.gov</t>
  </si>
  <si>
    <t xml:space="preserve">Kaitlin Whitmore </t>
  </si>
  <si>
    <t>27whitmorek@masdstudent.org</t>
  </si>
  <si>
    <t>May 2, 2026 Disability Community Resource Fair</t>
  </si>
  <si>
    <t>Beginning Balance</t>
  </si>
  <si>
    <t>Eagle TOPSoccer</t>
  </si>
  <si>
    <t>GIANT</t>
  </si>
  <si>
    <t>The Family Heritage Trust Company</t>
  </si>
  <si>
    <t>AmeriHealth Caritas-Pennsylvania</t>
  </si>
  <si>
    <t>PerformCare</t>
  </si>
  <si>
    <t>Rehoboth T-shirts (50)</t>
  </si>
  <si>
    <t>Amazon-Pen Giveaway</t>
  </si>
  <si>
    <t>Amazon-Paper towels &amp; napkins</t>
  </si>
  <si>
    <t>Amazon- Photo Backdrop</t>
  </si>
  <si>
    <t>Amazon-Plates, Duck Game,Prizes, Crafts, Face Paints</t>
  </si>
  <si>
    <t>Amazon-Painters Tape, Printer paper</t>
  </si>
  <si>
    <t>Amazon-White bags, twine</t>
  </si>
  <si>
    <t>Amazon-Ink cartidges</t>
  </si>
  <si>
    <t>ABC27-CitySpark- Advertising Fees</t>
  </si>
  <si>
    <t>news@cbs21.com</t>
  </si>
  <si>
    <t>DONE &amp; Paid</t>
  </si>
  <si>
    <t>Done Media Release</t>
  </si>
  <si>
    <t>Vendor Load-in/Duck Game</t>
  </si>
  <si>
    <t>26brookmyere@masdstudent.org</t>
  </si>
  <si>
    <t>Emily Brookmyer</t>
  </si>
  <si>
    <t>fernandezk107@gmail.com</t>
  </si>
  <si>
    <t>pattybutterworth01@gmail.com</t>
  </si>
  <si>
    <t>VendorCheck in/Craft Area</t>
  </si>
  <si>
    <t>Vendor Load-in/RASCAL Photographer</t>
  </si>
  <si>
    <t>Vendor Load in/Load out</t>
  </si>
  <si>
    <t>Shiong Gau Chan</t>
  </si>
  <si>
    <t>Fong Teng Lau</t>
  </si>
  <si>
    <t>PerformCare-Morgan</t>
  </si>
  <si>
    <t>$500 Sponsor</t>
  </si>
  <si>
    <t>First UMC-</t>
  </si>
  <si>
    <t>knunez@latinoconnection.org</t>
  </si>
  <si>
    <t>Aetna Wellness Minivan (Outdoor CHIP program)</t>
  </si>
  <si>
    <t>717-963-7218</t>
  </si>
  <si>
    <t>Karina Nunez</t>
  </si>
  <si>
    <t>TABLE</t>
  </si>
  <si>
    <t>COMPANY NAME</t>
  </si>
  <si>
    <t>A Gift of Smiles</t>
  </si>
  <si>
    <t>Abby Care</t>
  </si>
  <si>
    <t>Advocacy &amp; Family Education at the Arc of Cumberland and Perry Counties</t>
  </si>
  <si>
    <t>All In Theatre</t>
  </si>
  <si>
    <t>AmeriHealth Caritas Pennsylvania</t>
  </si>
  <si>
    <t>BalanSense-Therapy, LLC</t>
  </si>
  <si>
    <t>Behavioral Milestones</t>
  </si>
  <si>
    <t>Carlisle Area Sertoma Club</t>
  </si>
  <si>
    <t>Carrita Counseling</t>
  </si>
  <si>
    <t>Center for Community Resources</t>
  </si>
  <si>
    <t>Children's Miracle Network Extra Life</t>
  </si>
  <si>
    <t>Clear Path Pediatric Therapy LLC</t>
  </si>
  <si>
    <t>Community Benefits Solutions/Asset Protectors</t>
  </si>
  <si>
    <t>Developmental Fitness Co</t>
  </si>
  <si>
    <t>Epilepsy Association of Western and Central PA</t>
  </si>
  <si>
    <t>Family Support Services UCP Central PA</t>
  </si>
  <si>
    <t>Focus Behavioral Health</t>
  </si>
  <si>
    <t>Hands and Feet Ministry</t>
  </si>
  <si>
    <t>Horizons Creative Studio</t>
  </si>
  <si>
    <t>Jewish Family Service of Greater Harrisburg</t>
  </si>
  <si>
    <t>K &amp; K Connections- Spectrum Spark Society, Inc.</t>
  </si>
  <si>
    <t>Keck Health</t>
  </si>
  <si>
    <t>Kelly-Cutia Team, Realtors</t>
  </si>
  <si>
    <t>Kira’s Grace Foundation</t>
  </si>
  <si>
    <t>Latino Connection</t>
  </si>
  <si>
    <t>Lehigh Valley Center for Independent Living</t>
  </si>
  <si>
    <t>Lindsay Wellman (Master IEP Coach® and Special Education Consultant)</t>
  </si>
  <si>
    <t>Luke5adventures</t>
  </si>
  <si>
    <t>Lobby</t>
  </si>
  <si>
    <t>MASD Life Skills</t>
  </si>
  <si>
    <t>NAMI Cumberland and Perry Counties PA</t>
  </si>
  <si>
    <t>Neurabilities</t>
  </si>
  <si>
    <t>NEXT Steps at Messiah University</t>
  </si>
  <si>
    <t>Notes of Healing Music Therapy, LLC</t>
  </si>
  <si>
    <t>OneWell Health Care</t>
  </si>
  <si>
    <t>OVR</t>
  </si>
  <si>
    <t>Penn State Harrisburg Career Studies Program- Post Secondary Inclusive College Program</t>
  </si>
  <si>
    <t>Pennie</t>
  </si>
  <si>
    <t>PPL WRAP Program</t>
  </si>
  <si>
    <t>Sadler Health Center</t>
  </si>
  <si>
    <t>Safe Optimal Spaces</t>
  </si>
  <si>
    <t>Senator Dawn Keefer</t>
  </si>
  <si>
    <t>SimplyHome</t>
  </si>
  <si>
    <t>Speaking For Ourselves</t>
  </si>
  <si>
    <t>Technology Assisted Children’s Home Program (TACHP)</t>
  </si>
  <si>
    <t>The PEAL Center</t>
  </si>
  <si>
    <t>The YMCA Center for Healthy Living</t>
  </si>
  <si>
    <t>Thrive Center for Independent Living</t>
  </si>
  <si>
    <t>UDS Service Dogs</t>
  </si>
  <si>
    <t>Values Into Action</t>
  </si>
  <si>
    <t>Vision Resources of Central Pennsylvania</t>
  </si>
  <si>
    <t>Empty</t>
  </si>
  <si>
    <t>Both</t>
  </si>
  <si>
    <t>Email Address</t>
  </si>
  <si>
    <t>bgarrison@1847financial.com</t>
  </si>
  <si>
    <t>shanna@agiftofsmiles.org</t>
  </si>
  <si>
    <t>laura.piontkowski@withwellspring.com</t>
  </si>
  <si>
    <t>abeaver@cparc.org</t>
  </si>
  <si>
    <t>mgebremariam@myallamericancare.com</t>
  </si>
  <si>
    <t>katie@allintheatre.org</t>
  </si>
  <si>
    <t>dwilcox@merakey.org</t>
  </si>
  <si>
    <t>kwinter@balansense-therapy.com</t>
  </si>
  <si>
    <t>abby@behavioralmilestones.org</t>
  </si>
  <si>
    <t>Suelbower@gmail.com</t>
  </si>
  <si>
    <t>carritacounseling@gmail.com</t>
  </si>
  <si>
    <t>JINGERSOLL@ccrinfo.org</t>
  </si>
  <si>
    <t>jgulbrandsen@pennstatehealth.psu.edu</t>
  </si>
  <si>
    <t>mdennae@clearpathpediatric.com</t>
  </si>
  <si>
    <t>casey@centralpaadvisors.com</t>
  </si>
  <si>
    <t>Community Benefits Solutions</t>
  </si>
  <si>
    <t>madetraglia@cumberlandcountypa.gov</t>
  </si>
  <si>
    <t>rlkichman@cumberlandcountypa.gov</t>
  </si>
  <si>
    <t>Cumberland/Perry MH/IDD Early Intervention</t>
  </si>
  <si>
    <t>seanhanley221@gmail.com</t>
  </si>
  <si>
    <t>skuhns@eawcp.org</t>
  </si>
  <si>
    <t>kelli.fry@ucpcentralpa.org</t>
  </si>
  <si>
    <t>ejfox@fbhi.net; aedmunds@fbhi.net</t>
  </si>
  <si>
    <t>handsandfeetsumc@gmail.com</t>
  </si>
  <si>
    <t>bwaesche@jfsofhbg.org</t>
  </si>
  <si>
    <t>chrissy@knkconnections.net</t>
  </si>
  <si>
    <t>kris@keckhealth.org</t>
  </si>
  <si>
    <t>lkelly@kw.com</t>
  </si>
  <si>
    <t>kirasgrace@gmail.com</t>
  </si>
  <si>
    <t>ahuertas@latinoconnection.org</t>
  </si>
  <si>
    <t>juliannarodrigues@lvcil.org</t>
  </si>
  <si>
    <t>lindsay@lindsaywellman.com</t>
  </si>
  <si>
    <t>liv.yoder@luke5adventures.org</t>
  </si>
  <si>
    <t>kdiegel@mbgsd.org</t>
  </si>
  <si>
    <t>NAMI.cp.pa@gmail.com</t>
  </si>
  <si>
    <t>acramer@neurabilities.com</t>
  </si>
  <si>
    <t>ndnetleann@gmail.com</t>
  </si>
  <si>
    <t>abrisbane@messiah.edu</t>
  </si>
  <si>
    <t>taylornhood@notesofhealing.com</t>
  </si>
  <si>
    <t>ashlyn.linderman@onewell.org</t>
  </si>
  <si>
    <t>tshultz@parenttoparent.org</t>
  </si>
  <si>
    <t>sem185@psu.edu</t>
  </si>
  <si>
    <t>tour@ymcaharrisburg.org</t>
  </si>
  <si>
    <t>mjahnigen@performcare.org</t>
  </si>
  <si>
    <t>pford@cmcenergy.com</t>
  </si>
  <si>
    <t>stwigg@sadlerhealth.org</t>
  </si>
  <si>
    <t>safeoptimalspaces@gmail.com</t>
  </si>
  <si>
    <t>smetz@pasen.gov</t>
  </si>
  <si>
    <t>kristie.ondisco@simply-home.com</t>
  </si>
  <si>
    <t>brigmwilson@gmail.com</t>
  </si>
  <si>
    <t>limorales@phmc.org</t>
  </si>
  <si>
    <t>atucp@ucpcentralpa.org</t>
  </si>
  <si>
    <t>annemarie@fhtrust.com</t>
  </si>
  <si>
    <t>tkts.bev@gmail.com</t>
  </si>
  <si>
    <t>brian.wolfe@ymcaharrisburg.org</t>
  </si>
  <si>
    <t>gtaveras@thrivecil.org</t>
  </si>
  <si>
    <t>kristinac@udservices.org</t>
  </si>
  <si>
    <t>micheller@viapa.org</t>
  </si>
  <si>
    <t>pzavinsky@vrocp.org</t>
  </si>
  <si>
    <t>2026 Disability Community Resource Fair Volunteers</t>
  </si>
  <si>
    <t>PPL First</t>
  </si>
  <si>
    <t>19-21</t>
  </si>
  <si>
    <t>VENDOR REQUESTS AND TABLE NUMBERS</t>
  </si>
  <si>
    <t>3 &amp; 4</t>
  </si>
  <si>
    <t xml:space="preserve">Advocacy &amp; Family Education at the Arc </t>
  </si>
  <si>
    <t xml:space="preserve">Penn State Harrisburg Career Studies Program- Post Secondary </t>
  </si>
  <si>
    <t>Needs Electric</t>
  </si>
  <si>
    <t>Has Banner</t>
  </si>
  <si>
    <t>Lindsay Wellman (Master IEP Coach® / Special Ed Consultant)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</si>
</sst>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rgb="FF0070C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131313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18"/>
      <scheme val="minor"/>
    </font>
    <font>
      <sz val="8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rgb="FFFFFFFF"/>
      <name val="Roboto"/>
    </font>
    <font>
      <sz val="10"/>
      <color rgb="FF434343"/>
      <name val="Roboto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8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3" fillId="0" borderId="0" xfId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4" fillId="0" borderId="0" xfId="0" applyFont="1" applyAlignment="1">
      <alignment horizontal="center"/>
    </xf>
    <xf numFmtId="0" fontId="0" fillId="2" borderId="3" xfId="0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0" borderId="0" xfId="0" applyAlignment="1">
      <alignment horizontal="left"/>
    </xf>
    <xf numFmtId="0" fontId="3" fillId="3" borderId="0" xfId="1" applyFill="1"/>
    <xf numFmtId="0" fontId="3" fillId="3" borderId="0" xfId="1" applyFill="1" applyBorder="1"/>
    <xf numFmtId="0" fontId="5" fillId="0" borderId="0" xfId="0" applyFont="1"/>
    <xf numFmtId="0" fontId="5" fillId="0" borderId="0" xfId="0" applyFont="1" applyAlignment="1">
      <alignment wrapText="1"/>
    </xf>
    <xf numFmtId="0" fontId="3" fillId="3" borderId="0" xfId="1" applyFill="1" applyBorder="1" applyAlignment="1">
      <alignment wrapText="1"/>
    </xf>
    <xf numFmtId="0" fontId="6" fillId="3" borderId="0" xfId="1" applyFont="1" applyFill="1"/>
    <xf numFmtId="0" fontId="7" fillId="0" borderId="0" xfId="0" applyFont="1"/>
    <xf numFmtId="0" fontId="0" fillId="3" borderId="0" xfId="0" applyFill="1"/>
    <xf numFmtId="0" fontId="5" fillId="0" borderId="0" xfId="0" applyFont="1" applyAlignment="1">
      <alignment vertical="center"/>
    </xf>
    <xf numFmtId="0" fontId="8" fillId="4" borderId="0" xfId="0" applyFont="1" applyFill="1" applyAlignment="1">
      <alignment horizontal="center"/>
    </xf>
    <xf numFmtId="0" fontId="0" fillId="4" borderId="0" xfId="0" applyFill="1"/>
    <xf numFmtId="0" fontId="3" fillId="5" borderId="0" xfId="1" applyFill="1"/>
    <xf numFmtId="0" fontId="9" fillId="4" borderId="0" xfId="0" applyFont="1" applyFill="1" applyAlignment="1">
      <alignment horizontal="center"/>
    </xf>
    <xf numFmtId="0" fontId="3" fillId="2" borderId="0" xfId="1" applyFill="1"/>
    <xf numFmtId="0" fontId="10" fillId="0" borderId="0" xfId="0" applyFont="1"/>
    <xf numFmtId="0" fontId="3" fillId="2" borderId="0" xfId="1" applyFill="1" applyBorder="1" applyAlignment="1">
      <alignment wrapText="1"/>
    </xf>
    <xf numFmtId="0" fontId="11" fillId="0" borderId="0" xfId="0" applyFont="1"/>
    <xf numFmtId="0" fontId="5" fillId="0" borderId="4" xfId="0" applyFont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0" fillId="2" borderId="0" xfId="0" applyFill="1"/>
    <xf numFmtId="0" fontId="5" fillId="2" borderId="0" xfId="0" applyFont="1" applyFill="1"/>
    <xf numFmtId="0" fontId="0" fillId="6" borderId="1" xfId="0" applyFill="1" applyBorder="1"/>
    <xf numFmtId="0" fontId="12" fillId="3" borderId="0" xfId="0" applyFont="1" applyFill="1"/>
    <xf numFmtId="0" fontId="3" fillId="3" borderId="0" xfId="1" applyFill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1" applyFill="1"/>
    <xf numFmtId="0" fontId="3" fillId="0" borderId="0" xfId="1" applyFill="1" applyBorder="1"/>
    <xf numFmtId="0" fontId="3" fillId="0" borderId="0" xfId="1" applyFill="1" applyBorder="1" applyAlignment="1">
      <alignment wrapText="1"/>
    </xf>
    <xf numFmtId="0" fontId="6" fillId="0" borderId="0" xfId="1" applyFont="1" applyFill="1"/>
    <xf numFmtId="0" fontId="12" fillId="0" borderId="0" xfId="0" applyFont="1"/>
    <xf numFmtId="0" fontId="3" fillId="0" borderId="0" xfId="1" applyFill="1" applyAlignment="1">
      <alignment vertical="center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4" fontId="0" fillId="0" borderId="8" xfId="0" applyNumberFormat="1" applyBorder="1" applyAlignment="1">
      <alignment horizontal="right" wrapText="1"/>
    </xf>
    <xf numFmtId="0" fontId="0" fillId="0" borderId="9" xfId="0" applyBorder="1" applyAlignment="1">
      <alignment wrapText="1"/>
    </xf>
    <xf numFmtId="8" fontId="0" fillId="0" borderId="9" xfId="0" applyNumberFormat="1" applyBorder="1" applyAlignment="1">
      <alignment horizontal="right" wrapText="1"/>
    </xf>
    <xf numFmtId="0" fontId="0" fillId="0" borderId="10" xfId="0" applyBorder="1" applyAlignment="1">
      <alignment wrapText="1"/>
    </xf>
    <xf numFmtId="0" fontId="1" fillId="0" borderId="11" xfId="0" applyFont="1" applyBorder="1" applyAlignment="1">
      <alignment wrapText="1"/>
    </xf>
    <xf numFmtId="8" fontId="1" fillId="0" borderId="11" xfId="0" applyNumberFormat="1" applyFont="1" applyBorder="1" applyAlignment="1">
      <alignment horizontal="right"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0" fillId="0" borderId="9" xfId="0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8" fontId="1" fillId="0" borderId="9" xfId="0" applyNumberFormat="1" applyFont="1" applyBorder="1" applyAlignment="1">
      <alignment horizontal="right" wrapText="1"/>
    </xf>
    <xf numFmtId="0" fontId="0" fillId="0" borderId="12" xfId="0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horizontal="center" wrapText="1"/>
    </xf>
    <xf numFmtId="18" fontId="0" fillId="0" borderId="9" xfId="0" applyNumberFormat="1" applyBorder="1" applyAlignment="1">
      <alignment horizontal="right" wrapText="1"/>
    </xf>
    <xf numFmtId="0" fontId="0" fillId="7" borderId="9" xfId="0" applyFill="1" applyBorder="1" applyAlignment="1">
      <alignment horizontal="right" wrapText="1"/>
    </xf>
    <xf numFmtId="18" fontId="0" fillId="0" borderId="12" xfId="0" applyNumberFormat="1" applyBorder="1" applyAlignment="1">
      <alignment horizontal="right" wrapText="1"/>
    </xf>
    <xf numFmtId="0" fontId="0" fillId="2" borderId="8" xfId="0" applyFill="1" applyBorder="1" applyAlignment="1">
      <alignment wrapText="1"/>
    </xf>
    <xf numFmtId="0" fontId="0" fillId="0" borderId="16" xfId="0" applyBorder="1" applyAlignment="1">
      <alignment wrapText="1"/>
    </xf>
    <xf numFmtId="0" fontId="15" fillId="0" borderId="4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6" fillId="0" borderId="0" xfId="1" applyFont="1" applyAlignment="1">
      <alignment wrapText="1"/>
    </xf>
    <xf numFmtId="0" fontId="17" fillId="0" borderId="8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left" vertical="center" wrapText="1"/>
    </xf>
    <xf numFmtId="0" fontId="3" fillId="0" borderId="0" xfId="1" applyAlignment="1">
      <alignment wrapText="1"/>
    </xf>
    <xf numFmtId="0" fontId="3" fillId="0" borderId="9" xfId="1" applyBorder="1" applyAlignment="1">
      <alignment wrapText="1"/>
    </xf>
    <xf numFmtId="0" fontId="0" fillId="0" borderId="17" xfId="0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2" borderId="9" xfId="0" applyFill="1" applyBorder="1" applyAlignment="1">
      <alignment wrapText="1"/>
    </xf>
    <xf numFmtId="0" fontId="0" fillId="2" borderId="9" xfId="0" applyFill="1" applyBorder="1" applyAlignment="1">
      <alignment horizontal="right" wrapText="1"/>
    </xf>
    <xf numFmtId="18" fontId="0" fillId="0" borderId="13" xfId="0" applyNumberFormat="1" applyBorder="1" applyAlignment="1">
      <alignment horizontal="right" wrapText="1"/>
    </xf>
    <xf numFmtId="0" fontId="19" fillId="0" borderId="4" xfId="0" applyFont="1" applyBorder="1" applyAlignment="1">
      <alignment wrapText="1"/>
    </xf>
    <xf numFmtId="0" fontId="19" fillId="0" borderId="6" xfId="0" applyFont="1" applyBorder="1" applyAlignment="1">
      <alignment wrapText="1"/>
    </xf>
    <xf numFmtId="0" fontId="19" fillId="9" borderId="8" xfId="0" applyFont="1" applyFill="1" applyBorder="1" applyAlignment="1">
      <alignment horizontal="right" wrapText="1"/>
    </xf>
    <xf numFmtId="0" fontId="19" fillId="8" borderId="8" xfId="0" applyFont="1" applyFill="1" applyBorder="1" applyAlignment="1">
      <alignment horizontal="right" wrapText="1"/>
    </xf>
    <xf numFmtId="0" fontId="19" fillId="0" borderId="8" xfId="0" applyFont="1" applyBorder="1" applyAlignment="1">
      <alignment horizontal="right" wrapText="1"/>
    </xf>
    <xf numFmtId="0" fontId="19" fillId="10" borderId="8" xfId="0" applyFont="1" applyFill="1" applyBorder="1" applyAlignment="1">
      <alignment horizontal="right" wrapText="1"/>
    </xf>
    <xf numFmtId="0" fontId="5" fillId="8" borderId="4" xfId="0" applyFont="1" applyFill="1" applyBorder="1" applyAlignment="1"/>
    <xf numFmtId="0" fontId="19" fillId="8" borderId="4" xfId="0" applyFont="1" applyFill="1" applyBorder="1" applyAlignment="1">
      <alignment horizontal="center"/>
    </xf>
    <xf numFmtId="0" fontId="5" fillId="0" borderId="4" xfId="0" applyFont="1" applyBorder="1" applyAlignment="1"/>
    <xf numFmtId="0" fontId="0" fillId="0" borderId="0" xfId="0" applyAlignment="1"/>
    <xf numFmtId="0" fontId="5" fillId="9" borderId="4" xfId="0" applyFont="1" applyFill="1" applyBorder="1" applyAlignment="1"/>
    <xf numFmtId="0" fontId="20" fillId="0" borderId="4" xfId="0" applyFont="1" applyBorder="1" applyAlignment="1"/>
    <xf numFmtId="0" fontId="17" fillId="0" borderId="0" xfId="0" applyFont="1" applyAlignment="1"/>
    <xf numFmtId="0" fontId="19" fillId="0" borderId="18" xfId="0" applyFont="1" applyBorder="1" applyAlignment="1">
      <alignment wrapText="1"/>
    </xf>
    <xf numFmtId="0" fontId="19" fillId="9" borderId="13" xfId="0" applyFont="1" applyFill="1" applyBorder="1" applyAlignment="1">
      <alignment wrapText="1"/>
    </xf>
    <xf numFmtId="0" fontId="19" fillId="10" borderId="13" xfId="0" applyFont="1" applyFill="1" applyBorder="1" applyAlignment="1">
      <alignment wrapText="1"/>
    </xf>
    <xf numFmtId="0" fontId="19" fillId="8" borderId="13" xfId="0" applyFont="1" applyFill="1" applyBorder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19" fillId="8" borderId="19" xfId="0" applyFont="1" applyFill="1" applyBorder="1" applyAlignment="1">
      <alignment wrapText="1"/>
    </xf>
    <xf numFmtId="0" fontId="19" fillId="8" borderId="20" xfId="0" applyFont="1" applyFill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0" fillId="0" borderId="24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5" xfId="0" applyBorder="1" applyAlignment="1">
      <alignment wrapText="1"/>
    </xf>
    <xf numFmtId="0" fontId="21" fillId="11" borderId="26" xfId="0" applyFont="1" applyFill="1" applyBorder="1" applyAlignment="1">
      <alignment vertical="center" wrapText="1"/>
    </xf>
    <xf numFmtId="0" fontId="21" fillId="11" borderId="27" xfId="0" applyFont="1" applyFill="1" applyBorder="1" applyAlignment="1">
      <alignment vertical="center" wrapText="1"/>
    </xf>
    <xf numFmtId="0" fontId="22" fillId="8" borderId="28" xfId="0" applyFont="1" applyFill="1" applyBorder="1" applyAlignment="1">
      <alignment vertical="center" wrapText="1"/>
    </xf>
    <xf numFmtId="0" fontId="22" fillId="8" borderId="29" xfId="0" applyFont="1" applyFill="1" applyBorder="1" applyAlignment="1">
      <alignment vertical="center" wrapText="1"/>
    </xf>
    <xf numFmtId="0" fontId="22" fillId="9" borderId="30" xfId="0" applyFont="1" applyFill="1" applyBorder="1" applyAlignment="1">
      <alignment vertical="center" wrapText="1"/>
    </xf>
    <xf numFmtId="0" fontId="22" fillId="9" borderId="31" xfId="0" applyFont="1" applyFill="1" applyBorder="1" applyAlignment="1">
      <alignment vertical="center" wrapText="1"/>
    </xf>
    <xf numFmtId="0" fontId="22" fillId="9" borderId="32" xfId="0" applyFont="1" applyFill="1" applyBorder="1" applyAlignment="1">
      <alignment vertical="center" wrapText="1"/>
    </xf>
    <xf numFmtId="0" fontId="22" fillId="9" borderId="33" xfId="0" applyFont="1" applyFill="1" applyBorder="1" applyAlignment="1">
      <alignment vertical="center" wrapText="1"/>
    </xf>
    <xf numFmtId="0" fontId="22" fillId="12" borderId="30" xfId="0" applyFont="1" applyFill="1" applyBorder="1" applyAlignment="1">
      <alignment vertical="center" wrapText="1"/>
    </xf>
    <xf numFmtId="0" fontId="22" fillId="12" borderId="28" xfId="0" applyFont="1" applyFill="1" applyBorder="1" applyAlignment="1">
      <alignment vertical="center" wrapText="1"/>
    </xf>
    <xf numFmtId="0" fontId="3" fillId="9" borderId="30" xfId="1" applyFill="1" applyBorder="1" applyAlignment="1">
      <alignment vertical="center" wrapText="1"/>
    </xf>
    <xf numFmtId="0" fontId="3" fillId="8" borderId="28" xfId="1" applyFill="1" applyBorder="1" applyAlignment="1">
      <alignment vertical="center" wrapText="1"/>
    </xf>
    <xf numFmtId="0" fontId="3" fillId="12" borderId="30" xfId="1" applyFill="1" applyBorder="1" applyAlignment="1">
      <alignment vertical="center" wrapText="1"/>
    </xf>
    <xf numFmtId="0" fontId="19" fillId="5" borderId="8" xfId="0" applyFont="1" applyFill="1" applyBorder="1" applyAlignment="1">
      <alignment horizontal="right" wrapText="1"/>
    </xf>
    <xf numFmtId="0" fontId="19" fillId="5" borderId="13" xfId="0" applyFont="1" applyFill="1" applyBorder="1" applyAlignment="1">
      <alignment wrapText="1"/>
    </xf>
    <xf numFmtId="0" fontId="0" fillId="5" borderId="1" xfId="0" applyFill="1" applyBorder="1"/>
    <xf numFmtId="0" fontId="0" fillId="13" borderId="1" xfId="0" applyFill="1" applyBorder="1"/>
    <xf numFmtId="0" fontId="23" fillId="0" borderId="0" xfId="0" applyFont="1" applyAlignment="1"/>
    <xf numFmtId="0" fontId="24" fillId="8" borderId="4" xfId="0" applyFont="1" applyFill="1" applyBorder="1" applyAlignment="1"/>
    <xf numFmtId="0" fontId="24" fillId="15" borderId="4" xfId="0" applyFont="1" applyFill="1" applyBorder="1" applyAlignment="1"/>
    <xf numFmtId="0" fontId="24" fillId="14" borderId="4" xfId="0" applyFont="1" applyFill="1" applyBorder="1" applyAlignment="1"/>
    <xf numFmtId="0" fontId="24" fillId="9" borderId="4" xfId="0" applyFont="1" applyFill="1" applyBorder="1" applyAlignment="1"/>
    <xf numFmtId="0" fontId="24" fillId="16" borderId="4" xfId="0" applyFont="1" applyFill="1" applyBorder="1" applyAlignment="1"/>
    <xf numFmtId="0" fontId="24" fillId="0" borderId="4" xfId="0" applyFont="1" applyFill="1" applyBorder="1" applyAlignment="1"/>
    <xf numFmtId="0" fontId="24" fillId="0" borderId="4" xfId="0" applyFont="1" applyBorder="1" applyAlignment="1"/>
    <xf numFmtId="0" fontId="25" fillId="16" borderId="4" xfId="0" applyFont="1" applyFill="1" applyBorder="1" applyAlignment="1"/>
    <xf numFmtId="0" fontId="25" fillId="14" borderId="4" xfId="0" applyFont="1" applyFill="1" applyBorder="1" applyAlignment="1"/>
    <xf numFmtId="0" fontId="25" fillId="15" borderId="4" xfId="0" applyFont="1" applyFill="1" applyBorder="1" applyAlignment="1"/>
    <xf numFmtId="0" fontId="24" fillId="8" borderId="4" xfId="0" applyFont="1" applyFill="1" applyBorder="1" applyAlignment="1">
      <alignment horizontal="right"/>
    </xf>
    <xf numFmtId="0" fontId="24" fillId="9" borderId="4" xfId="0" applyFont="1" applyFill="1" applyBorder="1" applyAlignment="1">
      <alignment horizontal="right"/>
    </xf>
    <xf numFmtId="16" fontId="24" fillId="9" borderId="4" xfId="0" applyNumberFormat="1" applyFont="1" applyFill="1" applyBorder="1" applyAlignment="1">
      <alignment horizontal="right"/>
    </xf>
    <xf numFmtId="0" fontId="24" fillId="0" borderId="4" xfId="0" applyFont="1" applyBorder="1" applyAlignment="1">
      <alignment horizontal="right"/>
    </xf>
    <xf numFmtId="0" fontId="1" fillId="0" borderId="13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knydegger@kfamilysolutions.org" TargetMode="External"/><Relationship Id="rId21" Type="http://schemas.openxmlformats.org/officeDocument/2006/relationships/hyperlink" Target="http://www.pealcenter.org/" TargetMode="External"/><Relationship Id="rId42" Type="http://schemas.openxmlformats.org/officeDocument/2006/relationships/hyperlink" Target="mailto:thelink@cumberlandcountypa.gov" TargetMode="External"/><Relationship Id="rId47" Type="http://schemas.openxmlformats.org/officeDocument/2006/relationships/hyperlink" Target="mailto:nicole.fleet@onewell.org" TargetMode="External"/><Relationship Id="rId63" Type="http://schemas.openxmlformats.org/officeDocument/2006/relationships/hyperlink" Target="mailto:meganmiller.pelvicpt@gmail.com" TargetMode="External"/><Relationship Id="rId68" Type="http://schemas.openxmlformats.org/officeDocument/2006/relationships/hyperlink" Target="mailto:Realewrites@gmail.com" TargetMode="External"/><Relationship Id="rId84" Type="http://schemas.openxmlformats.org/officeDocument/2006/relationships/hyperlink" Target="mailto:sstine@cilcp.org" TargetMode="External"/><Relationship Id="rId89" Type="http://schemas.openxmlformats.org/officeDocument/2006/relationships/hyperlink" Target="mailto:diannem@pa.net" TargetMode="External"/><Relationship Id="rId16" Type="http://schemas.openxmlformats.org/officeDocument/2006/relationships/hyperlink" Target="mailto:laurab@austills.com" TargetMode="External"/><Relationship Id="rId11" Type="http://schemas.openxmlformats.org/officeDocument/2006/relationships/hyperlink" Target="mailto:contact@inspire4hope.org" TargetMode="External"/><Relationship Id="rId32" Type="http://schemas.openxmlformats.org/officeDocument/2006/relationships/hyperlink" Target="mailto:cmiller@vrocp.org" TargetMode="External"/><Relationship Id="rId37" Type="http://schemas.openxmlformats.org/officeDocument/2006/relationships/hyperlink" Target="mailto:aslody@messiah.edu" TargetMode="External"/><Relationship Id="rId53" Type="http://schemas.openxmlformats.org/officeDocument/2006/relationships/hyperlink" Target="mailto:info@valleycounselingcenter.com" TargetMode="External"/><Relationship Id="rId58" Type="http://schemas.openxmlformats.org/officeDocument/2006/relationships/hyperlink" Target="mailto:president@pbida.org" TargetMode="External"/><Relationship Id="rId74" Type="http://schemas.openxmlformats.org/officeDocument/2006/relationships/hyperlink" Target="mailto:office@drnancypatrick.com" TargetMode="External"/><Relationship Id="rId79" Type="http://schemas.openxmlformats.org/officeDocument/2006/relationships/hyperlink" Target="mailto:familysupportservices@ucpcentralpa.org" TargetMode="External"/><Relationship Id="rId5" Type="http://schemas.openxmlformats.org/officeDocument/2006/relationships/hyperlink" Target="http://www.meatballmanhoagieboy.com/" TargetMode="External"/><Relationship Id="rId90" Type="http://schemas.openxmlformats.org/officeDocument/2006/relationships/hyperlink" Target="mailto:MaryLynn.Hawk@albrightcare.org" TargetMode="External"/><Relationship Id="rId95" Type="http://schemas.openxmlformats.org/officeDocument/2006/relationships/hyperlink" Target="mailto:KPeters@wssd.k12.pa.us" TargetMode="External"/><Relationship Id="rId22" Type="http://schemas.openxmlformats.org/officeDocument/2006/relationships/hyperlink" Target="mailto:mparke@parenttoparent.org" TargetMode="External"/><Relationship Id="rId27" Type="http://schemas.openxmlformats.org/officeDocument/2006/relationships/hyperlink" Target="http://www.kfamilysolutions.org/" TargetMode="External"/><Relationship Id="rId43" Type="http://schemas.openxmlformats.org/officeDocument/2006/relationships/hyperlink" Target="mailto:Learntoskate@hersheyfigureskating.org" TargetMode="External"/><Relationship Id="rId48" Type="http://schemas.openxmlformats.org/officeDocument/2006/relationships/hyperlink" Target="mailto:info@palifeshare.com" TargetMode="External"/><Relationship Id="rId64" Type="http://schemas.openxmlformats.org/officeDocument/2006/relationships/hyperlink" Target="mailto:JOGrow154@proton.me" TargetMode="External"/><Relationship Id="rId69" Type="http://schemas.openxmlformats.org/officeDocument/2006/relationships/hyperlink" Target="http://www.mobilitions.com/" TargetMode="External"/><Relationship Id="rId8" Type="http://schemas.openxmlformats.org/officeDocument/2006/relationships/hyperlink" Target="http://www.belmontbehavioral.com/" TargetMode="External"/><Relationship Id="rId51" Type="http://schemas.openxmlformats.org/officeDocument/2006/relationships/hyperlink" Target="mailto:info@alderhealth.org" TargetMode="External"/><Relationship Id="rId72" Type="http://schemas.openxmlformats.org/officeDocument/2006/relationships/hyperlink" Target="mailto:courtneym@ktherapyzone.com" TargetMode="External"/><Relationship Id="rId80" Type="http://schemas.openxmlformats.org/officeDocument/2006/relationships/hyperlink" Target="mailto:shieldsdriving@gmail.com" TargetMode="External"/><Relationship Id="rId85" Type="http://schemas.openxmlformats.org/officeDocument/2006/relationships/hyperlink" Target="mailto:cromerj@upmc.edu" TargetMode="External"/><Relationship Id="rId93" Type="http://schemas.openxmlformats.org/officeDocument/2006/relationships/hyperlink" Target="mailto:jenniferrandr@yahoo.com" TargetMode="External"/><Relationship Id="rId3" Type="http://schemas.openxmlformats.org/officeDocument/2006/relationships/hyperlink" Target="http://www.developmentalfitness.com/" TargetMode="External"/><Relationship Id="rId12" Type="http://schemas.openxmlformats.org/officeDocument/2006/relationships/hyperlink" Target="http://www.inspire4hope.org/" TargetMode="External"/><Relationship Id="rId17" Type="http://schemas.openxmlformats.org/officeDocument/2006/relationships/hyperlink" Target="http://www.austills.com/" TargetMode="External"/><Relationship Id="rId25" Type="http://schemas.openxmlformats.org/officeDocument/2006/relationships/hyperlink" Target="http://www.outwardinlearning.com/" TargetMode="External"/><Relationship Id="rId33" Type="http://schemas.openxmlformats.org/officeDocument/2006/relationships/hyperlink" Target="mailto:kait@gillishanna.com" TargetMode="External"/><Relationship Id="rId38" Type="http://schemas.openxmlformats.org/officeDocument/2006/relationships/hyperlink" Target="mailto:demetraluciano@gmail.com" TargetMode="External"/><Relationship Id="rId46" Type="http://schemas.openxmlformats.org/officeDocument/2006/relationships/hyperlink" Target="mailto:alagray@khs.org" TargetMode="External"/><Relationship Id="rId59" Type="http://schemas.openxmlformats.org/officeDocument/2006/relationships/hyperlink" Target="mailto:info@DisabilityPridePA.org" TargetMode="External"/><Relationship Id="rId67" Type="http://schemas.openxmlformats.org/officeDocument/2006/relationships/hyperlink" Target="mailto:speech@cpatherapyconnections.com" TargetMode="External"/><Relationship Id="rId20" Type="http://schemas.openxmlformats.org/officeDocument/2006/relationships/hyperlink" Target="mailto:Lbrew@pealcenter.org;jwhite@pealcenter.org" TargetMode="External"/><Relationship Id="rId41" Type="http://schemas.openxmlformats.org/officeDocument/2006/relationships/hyperlink" Target="mailto:aspergerssocialgroupfrco@gmail.com" TargetMode="External"/><Relationship Id="rId54" Type="http://schemas.openxmlformats.org/officeDocument/2006/relationships/hyperlink" Target="mailto:HarrisburgDirectors@CDCInc.org" TargetMode="External"/><Relationship Id="rId62" Type="http://schemas.openxmlformats.org/officeDocument/2006/relationships/hyperlink" Target="mailto:tcs@patcs.com" TargetMode="External"/><Relationship Id="rId70" Type="http://schemas.openxmlformats.org/officeDocument/2006/relationships/hyperlink" Target="mailto:umber@ehomehealthcare.com" TargetMode="External"/><Relationship Id="rId75" Type="http://schemas.openxmlformats.org/officeDocument/2006/relationships/hyperlink" Target="mailto:cti.hgac@pa.gov" TargetMode="External"/><Relationship Id="rId83" Type="http://schemas.openxmlformats.org/officeDocument/2006/relationships/hyperlink" Target="mailto:mstehman@myallamericancare.com" TargetMode="External"/><Relationship Id="rId88" Type="http://schemas.openxmlformats.org/officeDocument/2006/relationships/hyperlink" Target="mailto:karinmch@comcast.net" TargetMode="External"/><Relationship Id="rId91" Type="http://schemas.openxmlformats.org/officeDocument/2006/relationships/hyperlink" Target="mailto:Bobbi@CheerTyme.com" TargetMode="External"/><Relationship Id="rId1" Type="http://schemas.openxmlformats.org/officeDocument/2006/relationships/hyperlink" Target="mailto:alyson@focusedapproach.com" TargetMode="External"/><Relationship Id="rId6" Type="http://schemas.openxmlformats.org/officeDocument/2006/relationships/hyperlink" Target="mailto:Stacy.phillips@temple.edu" TargetMode="External"/><Relationship Id="rId15" Type="http://schemas.openxmlformats.org/officeDocument/2006/relationships/hyperlink" Target="mailto:sean.sykes@natfin.net" TargetMode="External"/><Relationship Id="rId23" Type="http://schemas.openxmlformats.org/officeDocument/2006/relationships/hyperlink" Target="http://www.parenttoparent.org/" TargetMode="External"/><Relationship Id="rId28" Type="http://schemas.openxmlformats.org/officeDocument/2006/relationships/hyperlink" Target="mailto:mike@ChildAndFamilyArtTherapyCenter.com" TargetMode="External"/><Relationship Id="rId36" Type="http://schemas.openxmlformats.org/officeDocument/2006/relationships/hyperlink" Target="mailto:thepodplaycafepa@gmail.com" TargetMode="External"/><Relationship Id="rId49" Type="http://schemas.openxmlformats.org/officeDocument/2006/relationships/hyperlink" Target="mailto:marybethbrown@earlybirdtherapy.org" TargetMode="External"/><Relationship Id="rId57" Type="http://schemas.openxmlformats.org/officeDocument/2006/relationships/hyperlink" Target="mailto:info@autisticadvocacy.org" TargetMode="External"/><Relationship Id="rId10" Type="http://schemas.openxmlformats.org/officeDocument/2006/relationships/hyperlink" Target="http://www.sju.edu/" TargetMode="External"/><Relationship Id="rId31" Type="http://schemas.openxmlformats.org/officeDocument/2006/relationships/hyperlink" Target="mailto:tmanning@cparc.org" TargetMode="External"/><Relationship Id="rId44" Type="http://schemas.openxmlformats.org/officeDocument/2006/relationships/hyperlink" Target="mailto:OTandMePa@gmail.com" TargetMode="External"/><Relationship Id="rId52" Type="http://schemas.openxmlformats.org/officeDocument/2006/relationships/hyperlink" Target="mailto:info@csgonline.org" TargetMode="External"/><Relationship Id="rId60" Type="http://schemas.openxmlformats.org/officeDocument/2006/relationships/hyperlink" Target="mailto:info@patsainc.org" TargetMode="External"/><Relationship Id="rId65" Type="http://schemas.openxmlformats.org/officeDocument/2006/relationships/hyperlink" Target="mailto:info@purdylawoffice.com" TargetMode="External"/><Relationship Id="rId73" Type="http://schemas.openxmlformats.org/officeDocument/2006/relationships/hyperlink" Target="mailto:yorkhomecare@maxhealth.com" TargetMode="External"/><Relationship Id="rId78" Type="http://schemas.openxmlformats.org/officeDocument/2006/relationships/hyperlink" Target="mailto:TrishM@apraxia-kids.org" TargetMode="External"/><Relationship Id="rId81" Type="http://schemas.openxmlformats.org/officeDocument/2006/relationships/hyperlink" Target="mailto:twurts@me.com" TargetMode="External"/><Relationship Id="rId86" Type="http://schemas.openxmlformats.org/officeDocument/2006/relationships/hyperlink" Target="mailto:jlyingling@cumberlandcountypa.gov;jasullivan@cumberlandcountypa.gov" TargetMode="External"/><Relationship Id="rId94" Type="http://schemas.openxmlformats.org/officeDocument/2006/relationships/hyperlink" Target="mailto:darby.kristy.L@gmail.com" TargetMode="External"/><Relationship Id="rId4" Type="http://schemas.openxmlformats.org/officeDocument/2006/relationships/hyperlink" Target="mailto:Seanhanley221@gmail.com" TargetMode="External"/><Relationship Id="rId9" Type="http://schemas.openxmlformats.org/officeDocument/2006/relationships/hyperlink" Target="mailto:scorley@sju.edu" TargetMode="External"/><Relationship Id="rId13" Type="http://schemas.openxmlformats.org/officeDocument/2006/relationships/hyperlink" Target="mailto:saracrimm.FamiliesCCAN@gmail.com" TargetMode="External"/><Relationship Id="rId18" Type="http://schemas.openxmlformats.org/officeDocument/2006/relationships/hyperlink" Target="mailto:ari@leemar.com" TargetMode="External"/><Relationship Id="rId39" Type="http://schemas.openxmlformats.org/officeDocument/2006/relationships/hyperlink" Target="mailto:Leann@NDNet.org" TargetMode="External"/><Relationship Id="rId34" Type="http://schemas.openxmlformats.org/officeDocument/2006/relationships/hyperlink" Target="mailto:emiliejmatthews@gmail.com" TargetMode="External"/><Relationship Id="rId50" Type="http://schemas.openxmlformats.org/officeDocument/2006/relationships/hyperlink" Target="mailto:dweyant@sadlerhealth.org" TargetMode="External"/><Relationship Id="rId55" Type="http://schemas.openxmlformats.org/officeDocument/2006/relationships/hyperlink" Target="mailto:contact@autismharrisburg.com" TargetMode="External"/><Relationship Id="rId76" Type="http://schemas.openxmlformats.org/officeDocument/2006/relationships/hyperlink" Target="mailto:kstirn@decpa.org" TargetMode="External"/><Relationship Id="rId7" Type="http://schemas.openxmlformats.org/officeDocument/2006/relationships/hyperlink" Target="mailto:Lisa.Pangborn@BelmontBehavioral.com" TargetMode="External"/><Relationship Id="rId71" Type="http://schemas.openxmlformats.org/officeDocument/2006/relationships/hyperlink" Target="mailto:thebodhanagroup@gmail.com" TargetMode="External"/><Relationship Id="rId92" Type="http://schemas.openxmlformats.org/officeDocument/2006/relationships/hyperlink" Target="mailto:cdesiderio@upperallenpolice.com" TargetMode="External"/><Relationship Id="rId2" Type="http://schemas.openxmlformats.org/officeDocument/2006/relationships/hyperlink" Target="mailto:Seanhanley221@gmail.com" TargetMode="External"/><Relationship Id="rId29" Type="http://schemas.openxmlformats.org/officeDocument/2006/relationships/hyperlink" Target="http://www.artoffriendshipsocialskills.com/" TargetMode="External"/><Relationship Id="rId24" Type="http://schemas.openxmlformats.org/officeDocument/2006/relationships/hyperlink" Target="mailto:Darryl@outwardinlearning.com" TargetMode="External"/><Relationship Id="rId40" Type="http://schemas.openxmlformats.org/officeDocument/2006/relationships/hyperlink" Target="mailto:nbittinger@comcast.net" TargetMode="External"/><Relationship Id="rId45" Type="http://schemas.openxmlformats.org/officeDocument/2006/relationships/hyperlink" Target="mailto:kandi.fox@PaCommuterServices.org" TargetMode="External"/><Relationship Id="rId66" Type="http://schemas.openxmlformats.org/officeDocument/2006/relationships/hyperlink" Target="mailto:info@caiu.org" TargetMode="External"/><Relationship Id="rId87" Type="http://schemas.openxmlformats.org/officeDocument/2006/relationships/hyperlink" Target="mailto:rholland@susumc.org" TargetMode="External"/><Relationship Id="rId61" Type="http://schemas.openxmlformats.org/officeDocument/2006/relationships/hyperlink" Target="mailto:info@acresproject.org" TargetMode="External"/><Relationship Id="rId82" Type="http://schemas.openxmlformats.org/officeDocument/2006/relationships/hyperlink" Target="mailto:info@boldinc.org" TargetMode="External"/><Relationship Id="rId19" Type="http://schemas.openxmlformats.org/officeDocument/2006/relationships/hyperlink" Target="http://www.leemar.com/" TargetMode="External"/><Relationship Id="rId14" Type="http://schemas.openxmlformats.org/officeDocument/2006/relationships/hyperlink" Target="http://www.familiesccanphilly.org/" TargetMode="External"/><Relationship Id="rId30" Type="http://schemas.openxmlformats.org/officeDocument/2006/relationships/hyperlink" Target="mailto:pbergmaier@1847financial.com" TargetMode="External"/><Relationship Id="rId35" Type="http://schemas.openxmlformats.org/officeDocument/2006/relationships/hyperlink" Target="mailto:trinaneal21@gmail.com" TargetMode="External"/><Relationship Id="rId56" Type="http://schemas.openxmlformats.org/officeDocument/2006/relationships/hyperlink" Target="mailto:cwiercinski@pennstatehealth.psu.edu" TargetMode="External"/><Relationship Id="rId77" Type="http://schemas.openxmlformats.org/officeDocument/2006/relationships/hyperlink" Target="mailto:Bnutting.paperpie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mike@ChildAndFamilyArtTherapyCenter.com" TargetMode="External"/><Relationship Id="rId21" Type="http://schemas.openxmlformats.org/officeDocument/2006/relationships/hyperlink" Target="http://www.parenttoparent.org/" TargetMode="External"/><Relationship Id="rId42" Type="http://schemas.openxmlformats.org/officeDocument/2006/relationships/hyperlink" Target="mailto:kandi.fox@PaCommuterServices.org" TargetMode="External"/><Relationship Id="rId47" Type="http://schemas.openxmlformats.org/officeDocument/2006/relationships/hyperlink" Target="mailto:dweyant@sadlerhealth.org" TargetMode="External"/><Relationship Id="rId63" Type="http://schemas.openxmlformats.org/officeDocument/2006/relationships/hyperlink" Target="mailto:info@caiu.org" TargetMode="External"/><Relationship Id="rId68" Type="http://schemas.openxmlformats.org/officeDocument/2006/relationships/hyperlink" Target="mailto:thebodhanagroup@gmail.com" TargetMode="External"/><Relationship Id="rId84" Type="http://schemas.openxmlformats.org/officeDocument/2006/relationships/hyperlink" Target="mailto:karinmch@comcast.net" TargetMode="External"/><Relationship Id="rId89" Type="http://schemas.openxmlformats.org/officeDocument/2006/relationships/hyperlink" Target="mailto:jenniferrandr@yahoo.com" TargetMode="External"/><Relationship Id="rId16" Type="http://schemas.openxmlformats.org/officeDocument/2006/relationships/hyperlink" Target="mailto:ari@leemar.com" TargetMode="External"/><Relationship Id="rId107" Type="http://schemas.openxmlformats.org/officeDocument/2006/relationships/hyperlink" Target="mailto:charris@dovertownship.org" TargetMode="External"/><Relationship Id="rId11" Type="http://schemas.openxmlformats.org/officeDocument/2006/relationships/hyperlink" Target="mailto:saracrimm.FamiliesCCAN@gmail.com" TargetMode="External"/><Relationship Id="rId32" Type="http://schemas.openxmlformats.org/officeDocument/2006/relationships/hyperlink" Target="mailto:trinaneal21@gmail.com" TargetMode="External"/><Relationship Id="rId37" Type="http://schemas.openxmlformats.org/officeDocument/2006/relationships/hyperlink" Target="mailto:nbittinger@comcast.net" TargetMode="External"/><Relationship Id="rId53" Type="http://schemas.openxmlformats.org/officeDocument/2006/relationships/hyperlink" Target="mailto:cwiercinski@pennstatehealth.psu.edu" TargetMode="External"/><Relationship Id="rId58" Type="http://schemas.openxmlformats.org/officeDocument/2006/relationships/hyperlink" Target="mailto:info@acresproject.org" TargetMode="External"/><Relationship Id="rId74" Type="http://schemas.openxmlformats.org/officeDocument/2006/relationships/hyperlink" Target="mailto:TrishM@apraxia-kids.org" TargetMode="External"/><Relationship Id="rId79" Type="http://schemas.openxmlformats.org/officeDocument/2006/relationships/hyperlink" Target="mailto:mstehman@myallamericancare.com" TargetMode="External"/><Relationship Id="rId102" Type="http://schemas.openxmlformats.org/officeDocument/2006/relationships/hyperlink" Target="mailto:brittney.mccarthy@connectionshs.com" TargetMode="External"/><Relationship Id="rId5" Type="http://schemas.openxmlformats.org/officeDocument/2006/relationships/hyperlink" Target="http://www.meatballmanhoagieboy.com/" TargetMode="External"/><Relationship Id="rId90" Type="http://schemas.openxmlformats.org/officeDocument/2006/relationships/hyperlink" Target="mailto:darby.kristy.L@gmail.com" TargetMode="External"/><Relationship Id="rId95" Type="http://schemas.openxmlformats.org/officeDocument/2006/relationships/hyperlink" Target="mailto:jbott@mbgsd.org" TargetMode="External"/><Relationship Id="rId22" Type="http://schemas.openxmlformats.org/officeDocument/2006/relationships/hyperlink" Target="mailto:Darryl@outwardinlearning.com" TargetMode="External"/><Relationship Id="rId27" Type="http://schemas.openxmlformats.org/officeDocument/2006/relationships/hyperlink" Target="http://www.artoffriendshipsocialskills.com/" TargetMode="External"/><Relationship Id="rId43" Type="http://schemas.openxmlformats.org/officeDocument/2006/relationships/hyperlink" Target="mailto:alagray@khs.org" TargetMode="External"/><Relationship Id="rId48" Type="http://schemas.openxmlformats.org/officeDocument/2006/relationships/hyperlink" Target="mailto:info@alderhealth.org" TargetMode="External"/><Relationship Id="rId64" Type="http://schemas.openxmlformats.org/officeDocument/2006/relationships/hyperlink" Target="mailto:speech@cpatherapyconnections.com" TargetMode="External"/><Relationship Id="rId69" Type="http://schemas.openxmlformats.org/officeDocument/2006/relationships/hyperlink" Target="mailto:courtneym@ktherapyzone.com" TargetMode="External"/><Relationship Id="rId80" Type="http://schemas.openxmlformats.org/officeDocument/2006/relationships/hyperlink" Target="mailto:sstine@cilcp.org" TargetMode="External"/><Relationship Id="rId85" Type="http://schemas.openxmlformats.org/officeDocument/2006/relationships/hyperlink" Target="mailto:diannem@pa.net" TargetMode="External"/><Relationship Id="rId12" Type="http://schemas.openxmlformats.org/officeDocument/2006/relationships/hyperlink" Target="http://www.familiesccanphilly.org/" TargetMode="External"/><Relationship Id="rId17" Type="http://schemas.openxmlformats.org/officeDocument/2006/relationships/hyperlink" Target="http://www.leemar.com/" TargetMode="External"/><Relationship Id="rId33" Type="http://schemas.openxmlformats.org/officeDocument/2006/relationships/hyperlink" Target="mailto:thepodplaycafepa@gmail.com" TargetMode="External"/><Relationship Id="rId38" Type="http://schemas.openxmlformats.org/officeDocument/2006/relationships/hyperlink" Target="mailto:aspergerssocialgroupfrco@gmail.com" TargetMode="External"/><Relationship Id="rId59" Type="http://schemas.openxmlformats.org/officeDocument/2006/relationships/hyperlink" Target="mailto:tcs@patcs.com" TargetMode="External"/><Relationship Id="rId103" Type="http://schemas.openxmlformats.org/officeDocument/2006/relationships/hyperlink" Target="http://www.connectionshs.com/" TargetMode="External"/><Relationship Id="rId108" Type="http://schemas.openxmlformats.org/officeDocument/2006/relationships/hyperlink" Target="mailto:pastor@thebelongcollective.org" TargetMode="External"/><Relationship Id="rId54" Type="http://schemas.openxmlformats.org/officeDocument/2006/relationships/hyperlink" Target="mailto:info@autisticadvocacy.org" TargetMode="External"/><Relationship Id="rId70" Type="http://schemas.openxmlformats.org/officeDocument/2006/relationships/hyperlink" Target="mailto:yorkhomecare@maxhealth.com" TargetMode="External"/><Relationship Id="rId75" Type="http://schemas.openxmlformats.org/officeDocument/2006/relationships/hyperlink" Target="mailto:familysupportservices@ucpcentralpa.org" TargetMode="External"/><Relationship Id="rId91" Type="http://schemas.openxmlformats.org/officeDocument/2006/relationships/hyperlink" Target="mailto:KPeters@wssd.k12.pa.us" TargetMode="External"/><Relationship Id="rId96" Type="http://schemas.openxmlformats.org/officeDocument/2006/relationships/hyperlink" Target="mailto:klucas@amerihealthcaritaspa.com" TargetMode="External"/><Relationship Id="rId1" Type="http://schemas.openxmlformats.org/officeDocument/2006/relationships/hyperlink" Target="mailto:alyson@focusedapproach.com" TargetMode="External"/><Relationship Id="rId6" Type="http://schemas.openxmlformats.org/officeDocument/2006/relationships/hyperlink" Target="mailto:Stacy.phillips@temple.edu" TargetMode="External"/><Relationship Id="rId15" Type="http://schemas.openxmlformats.org/officeDocument/2006/relationships/hyperlink" Target="http://www.austills.com/" TargetMode="External"/><Relationship Id="rId23" Type="http://schemas.openxmlformats.org/officeDocument/2006/relationships/hyperlink" Target="http://www.outwardinlearning.com/" TargetMode="External"/><Relationship Id="rId28" Type="http://schemas.openxmlformats.org/officeDocument/2006/relationships/hyperlink" Target="mailto:pbergmaier@1847financial.com" TargetMode="External"/><Relationship Id="rId36" Type="http://schemas.openxmlformats.org/officeDocument/2006/relationships/hyperlink" Target="mailto:Leann@NDNet.org" TargetMode="External"/><Relationship Id="rId49" Type="http://schemas.openxmlformats.org/officeDocument/2006/relationships/hyperlink" Target="mailto:info@csgonline.org" TargetMode="External"/><Relationship Id="rId57" Type="http://schemas.openxmlformats.org/officeDocument/2006/relationships/hyperlink" Target="mailto:info@patsainc.org" TargetMode="External"/><Relationship Id="rId106" Type="http://schemas.openxmlformats.org/officeDocument/2006/relationships/hyperlink" Target="mailto:clubadmin@eagle-fc.com" TargetMode="External"/><Relationship Id="rId10" Type="http://schemas.openxmlformats.org/officeDocument/2006/relationships/hyperlink" Target="http://www.sju.edu/" TargetMode="External"/><Relationship Id="rId31" Type="http://schemas.openxmlformats.org/officeDocument/2006/relationships/hyperlink" Target="mailto:kait@gillishanna.com" TargetMode="External"/><Relationship Id="rId44" Type="http://schemas.openxmlformats.org/officeDocument/2006/relationships/hyperlink" Target="mailto:nicole.fleet@onewell.org" TargetMode="External"/><Relationship Id="rId52" Type="http://schemas.openxmlformats.org/officeDocument/2006/relationships/hyperlink" Target="mailto:membership@autismharrisburg.com" TargetMode="External"/><Relationship Id="rId60" Type="http://schemas.openxmlformats.org/officeDocument/2006/relationships/hyperlink" Target="mailto:meganmiller.pelvicpt@gmail.com" TargetMode="External"/><Relationship Id="rId65" Type="http://schemas.openxmlformats.org/officeDocument/2006/relationships/hyperlink" Target="mailto:Realewrites@gmail.com" TargetMode="External"/><Relationship Id="rId73" Type="http://schemas.openxmlformats.org/officeDocument/2006/relationships/hyperlink" Target="mailto:Bnutting.paperpie@gmail.com" TargetMode="External"/><Relationship Id="rId78" Type="http://schemas.openxmlformats.org/officeDocument/2006/relationships/hyperlink" Target="mailto:info@boldinc.org" TargetMode="External"/><Relationship Id="rId81" Type="http://schemas.openxmlformats.org/officeDocument/2006/relationships/hyperlink" Target="mailto:cromerj@upmc.edu" TargetMode="External"/><Relationship Id="rId86" Type="http://schemas.openxmlformats.org/officeDocument/2006/relationships/hyperlink" Target="mailto:MaryLynn.Hawk@albrightcare.org" TargetMode="External"/><Relationship Id="rId94" Type="http://schemas.openxmlformats.org/officeDocument/2006/relationships/hyperlink" Target="mailto:rmweaver@franklincountypa.gov" TargetMode="External"/><Relationship Id="rId99" Type="http://schemas.openxmlformats.org/officeDocument/2006/relationships/hyperlink" Target="mailto:jkeen@maranatha-carlisle.org" TargetMode="External"/><Relationship Id="rId101" Type="http://schemas.openxmlformats.org/officeDocument/2006/relationships/hyperlink" Target="mailto:pn_foundation@upmc.edu" TargetMode="External"/><Relationship Id="rId4" Type="http://schemas.openxmlformats.org/officeDocument/2006/relationships/hyperlink" Target="mailto:Seanhanley221@gmail.com" TargetMode="External"/><Relationship Id="rId9" Type="http://schemas.openxmlformats.org/officeDocument/2006/relationships/hyperlink" Target="mailto:scorley@sju.edu" TargetMode="External"/><Relationship Id="rId13" Type="http://schemas.openxmlformats.org/officeDocument/2006/relationships/hyperlink" Target="mailto:sean.sykes@natfin.net" TargetMode="External"/><Relationship Id="rId18" Type="http://schemas.openxmlformats.org/officeDocument/2006/relationships/hyperlink" Target="mailto:jwhite@pealcenter.org" TargetMode="External"/><Relationship Id="rId39" Type="http://schemas.openxmlformats.org/officeDocument/2006/relationships/hyperlink" Target="mailto:thelink@cumberlandcountypa.gov" TargetMode="External"/><Relationship Id="rId109" Type="http://schemas.openxmlformats.org/officeDocument/2006/relationships/hyperlink" Target="mailto:ckrebs@uatwp.org" TargetMode="External"/><Relationship Id="rId34" Type="http://schemas.openxmlformats.org/officeDocument/2006/relationships/hyperlink" Target="mailto:aslody@messiah.edu" TargetMode="External"/><Relationship Id="rId50" Type="http://schemas.openxmlformats.org/officeDocument/2006/relationships/hyperlink" Target="mailto:info@valleycounselingcenter.com" TargetMode="External"/><Relationship Id="rId55" Type="http://schemas.openxmlformats.org/officeDocument/2006/relationships/hyperlink" Target="mailto:president@pbida.org" TargetMode="External"/><Relationship Id="rId76" Type="http://schemas.openxmlformats.org/officeDocument/2006/relationships/hyperlink" Target="mailto:shieldsdriving@gmail.com" TargetMode="External"/><Relationship Id="rId97" Type="http://schemas.openxmlformats.org/officeDocument/2006/relationships/hyperlink" Target="mailto:RA-PDADP@pa.gov" TargetMode="External"/><Relationship Id="rId104" Type="http://schemas.openxmlformats.org/officeDocument/2006/relationships/hyperlink" Target="mailto:rachel@aspirations.agency" TargetMode="External"/><Relationship Id="rId7" Type="http://schemas.openxmlformats.org/officeDocument/2006/relationships/hyperlink" Target="mailto:Lisa.Pangborn@BelmontBehavioral.com" TargetMode="External"/><Relationship Id="rId71" Type="http://schemas.openxmlformats.org/officeDocument/2006/relationships/hyperlink" Target="mailto:office@drnancypatrick.com" TargetMode="External"/><Relationship Id="rId92" Type="http://schemas.openxmlformats.org/officeDocument/2006/relationships/hyperlink" Target="mailto:lbooker@patreasury.gov" TargetMode="External"/><Relationship Id="rId2" Type="http://schemas.openxmlformats.org/officeDocument/2006/relationships/hyperlink" Target="mailto:Seanhanley221@gmail.com" TargetMode="External"/><Relationship Id="rId29" Type="http://schemas.openxmlformats.org/officeDocument/2006/relationships/hyperlink" Target="mailto:tmanning@cparc.org" TargetMode="External"/><Relationship Id="rId24" Type="http://schemas.openxmlformats.org/officeDocument/2006/relationships/hyperlink" Target="mailto:knydegger@kfamilysolutions.org" TargetMode="External"/><Relationship Id="rId40" Type="http://schemas.openxmlformats.org/officeDocument/2006/relationships/hyperlink" Target="mailto:Learntoskate@hersheyfigureskating.org" TargetMode="External"/><Relationship Id="rId45" Type="http://schemas.openxmlformats.org/officeDocument/2006/relationships/hyperlink" Target="mailto:info@palifeshare.com" TargetMode="External"/><Relationship Id="rId66" Type="http://schemas.openxmlformats.org/officeDocument/2006/relationships/hyperlink" Target="http://www.mobilitions.com/" TargetMode="External"/><Relationship Id="rId87" Type="http://schemas.openxmlformats.org/officeDocument/2006/relationships/hyperlink" Target="mailto:Bobbi@CheerTyme.com" TargetMode="External"/><Relationship Id="rId110" Type="http://schemas.openxmlformats.org/officeDocument/2006/relationships/hyperlink" Target="mailto:rpayne@thejanusschool.org" TargetMode="External"/><Relationship Id="rId61" Type="http://schemas.openxmlformats.org/officeDocument/2006/relationships/hyperlink" Target="mailto:JOGrow154@proton.me" TargetMode="External"/><Relationship Id="rId82" Type="http://schemas.openxmlformats.org/officeDocument/2006/relationships/hyperlink" Target="mailto:jlyingling@cumberlandcountypa.gov;jasullivan@cumberlandcountypa.gov;madetraglia@cumberlandcountypa.gov" TargetMode="External"/><Relationship Id="rId19" Type="http://schemas.openxmlformats.org/officeDocument/2006/relationships/hyperlink" Target="http://www.pealcenter.org/" TargetMode="External"/><Relationship Id="rId14" Type="http://schemas.openxmlformats.org/officeDocument/2006/relationships/hyperlink" Target="mailto:laurab@austills.com" TargetMode="External"/><Relationship Id="rId30" Type="http://schemas.openxmlformats.org/officeDocument/2006/relationships/hyperlink" Target="mailto:cmiller@vrocp.org" TargetMode="External"/><Relationship Id="rId35" Type="http://schemas.openxmlformats.org/officeDocument/2006/relationships/hyperlink" Target="mailto:demetraluciano@gmail.com" TargetMode="External"/><Relationship Id="rId56" Type="http://schemas.openxmlformats.org/officeDocument/2006/relationships/hyperlink" Target="mailto:info@DisabilityPridePA.org" TargetMode="External"/><Relationship Id="rId77" Type="http://schemas.openxmlformats.org/officeDocument/2006/relationships/hyperlink" Target="mailto:twurts@me.com" TargetMode="External"/><Relationship Id="rId100" Type="http://schemas.openxmlformats.org/officeDocument/2006/relationships/hyperlink" Target="mailto:info@readingpublicmuseum.org" TargetMode="External"/><Relationship Id="rId105" Type="http://schemas.openxmlformats.org/officeDocument/2006/relationships/hyperlink" Target="mailto:info@clearpathpediatric.com" TargetMode="External"/><Relationship Id="rId8" Type="http://schemas.openxmlformats.org/officeDocument/2006/relationships/hyperlink" Target="http://www.belmontbehavioral.com/" TargetMode="External"/><Relationship Id="rId51" Type="http://schemas.openxmlformats.org/officeDocument/2006/relationships/hyperlink" Target="mailto:HarrisburgDirectors@CDCInc.org" TargetMode="External"/><Relationship Id="rId72" Type="http://schemas.openxmlformats.org/officeDocument/2006/relationships/hyperlink" Target="mailto:krrichards@pa.gov" TargetMode="External"/><Relationship Id="rId93" Type="http://schemas.openxmlformats.org/officeDocument/2006/relationships/hyperlink" Target="mailto:cedarling-horan@yorkcountypa.gov" TargetMode="External"/><Relationship Id="rId98" Type="http://schemas.openxmlformats.org/officeDocument/2006/relationships/hyperlink" Target="mailto:kjames@whitakercenter.org" TargetMode="External"/><Relationship Id="rId3" Type="http://schemas.openxmlformats.org/officeDocument/2006/relationships/hyperlink" Target="http://www.developmentalfitness.com/" TargetMode="External"/><Relationship Id="rId25" Type="http://schemas.openxmlformats.org/officeDocument/2006/relationships/hyperlink" Target="http://www.kfamilysolutions.org/" TargetMode="External"/><Relationship Id="rId46" Type="http://schemas.openxmlformats.org/officeDocument/2006/relationships/hyperlink" Target="mailto:marybethbrown@earlybirdtherapy.org" TargetMode="External"/><Relationship Id="rId67" Type="http://schemas.openxmlformats.org/officeDocument/2006/relationships/hyperlink" Target="mailto:umber@ehomehealthcare.com" TargetMode="External"/><Relationship Id="rId20" Type="http://schemas.openxmlformats.org/officeDocument/2006/relationships/hyperlink" Target="mailto:mparke@parenttoparent.org" TargetMode="External"/><Relationship Id="rId41" Type="http://schemas.openxmlformats.org/officeDocument/2006/relationships/hyperlink" Target="mailto:OTandMePa@gmail.com" TargetMode="External"/><Relationship Id="rId62" Type="http://schemas.openxmlformats.org/officeDocument/2006/relationships/hyperlink" Target="mailto:info@purdylawoffice.com" TargetMode="External"/><Relationship Id="rId83" Type="http://schemas.openxmlformats.org/officeDocument/2006/relationships/hyperlink" Target="mailto:rholland@susumc.org" TargetMode="External"/><Relationship Id="rId88" Type="http://schemas.openxmlformats.org/officeDocument/2006/relationships/hyperlink" Target="mailto:cdesiderio@upperallenpolice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indyarmourhelm@gmail.com" TargetMode="External"/><Relationship Id="rId13" Type="http://schemas.openxmlformats.org/officeDocument/2006/relationships/hyperlink" Target="mailto:kait@gillishanna.com" TargetMode="External"/><Relationship Id="rId3" Type="http://schemas.openxmlformats.org/officeDocument/2006/relationships/hyperlink" Target="mailto:Shop@Brownsautobody.net" TargetMode="External"/><Relationship Id="rId7" Type="http://schemas.openxmlformats.org/officeDocument/2006/relationships/hyperlink" Target="mailto:info@laverylaw.com" TargetMode="External"/><Relationship Id="rId12" Type="http://schemas.openxmlformats.org/officeDocument/2006/relationships/hyperlink" Target="mailto:laurab@austills.com" TargetMode="External"/><Relationship Id="rId2" Type="http://schemas.openxmlformats.org/officeDocument/2006/relationships/hyperlink" Target="mailto:Bericson94@gmail.com" TargetMode="External"/><Relationship Id="rId1" Type="http://schemas.openxmlformats.org/officeDocument/2006/relationships/hyperlink" Target="mailto:Mfasnacht@footlocker.com" TargetMode="External"/><Relationship Id="rId6" Type="http://schemas.openxmlformats.org/officeDocument/2006/relationships/hyperlink" Target="mailto:DeannaBoles@bmbw.cpa" TargetMode="External"/><Relationship Id="rId11" Type="http://schemas.openxmlformats.org/officeDocument/2006/relationships/hyperlink" Target="mailto:umber@ehomehealthcare.com" TargetMode="External"/><Relationship Id="rId5" Type="http://schemas.openxmlformats.org/officeDocument/2006/relationships/hyperlink" Target="mailto:info@bolgerremodeling.com" TargetMode="External"/><Relationship Id="rId10" Type="http://schemas.openxmlformats.org/officeDocument/2006/relationships/hyperlink" Target="mailto:thebodhanagroup@gmail.com" TargetMode="External"/><Relationship Id="rId4" Type="http://schemas.openxmlformats.org/officeDocument/2006/relationships/hyperlink" Target="http://www.bmbw.cpa/" TargetMode="External"/><Relationship Id="rId9" Type="http://schemas.openxmlformats.org/officeDocument/2006/relationships/hyperlink" Target="mailto:babineauopticians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emarsicano@pasen.gov" TargetMode="External"/><Relationship Id="rId3" Type="http://schemas.openxmlformats.org/officeDocument/2006/relationships/hyperlink" Target="mailto:Harrisburg@Susumc.org" TargetMode="External"/><Relationship Id="rId7" Type="http://schemas.openxmlformats.org/officeDocument/2006/relationships/hyperlink" Target="mailto:egazinski@bestversionmedia.com" TargetMode="External"/><Relationship Id="rId2" Type="http://schemas.openxmlformats.org/officeDocument/2006/relationships/hyperlink" Target="https://www.bestversionmedia.com/submit-content/" TargetMode="External"/><Relationship Id="rId1" Type="http://schemas.openxmlformats.org/officeDocument/2006/relationships/hyperlink" Target="mailto:bshreiber@bestversionmedia.com" TargetMode="External"/><Relationship Id="rId6" Type="http://schemas.openxmlformats.org/officeDocument/2006/relationships/hyperlink" Target="mailto:DeniseOfHTP@yahoo.com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mailto:rholland@susumc.org" TargetMode="External"/><Relationship Id="rId10" Type="http://schemas.openxmlformats.org/officeDocument/2006/relationships/hyperlink" Target="mailto:news@cbs21.com" TargetMode="External"/><Relationship Id="rId4" Type="http://schemas.openxmlformats.org/officeDocument/2006/relationships/hyperlink" Target="mailto:ads@reacheverymailbox.com" TargetMode="External"/><Relationship Id="rId9" Type="http://schemas.openxmlformats.org/officeDocument/2006/relationships/hyperlink" Target="mailto:Ozemb52Recorder@hot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pattybutterworth01@gmail.com" TargetMode="External"/><Relationship Id="rId2" Type="http://schemas.openxmlformats.org/officeDocument/2006/relationships/hyperlink" Target="mailto:fernandezk107@gmail.com" TargetMode="External"/><Relationship Id="rId1" Type="http://schemas.openxmlformats.org/officeDocument/2006/relationships/hyperlink" Target="mailto:27whitmorek@masdstudent.org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mailto:r.l.dixon@comcast.net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thebodhanagroup@gmail.com" TargetMode="External"/><Relationship Id="rId3" Type="http://schemas.openxmlformats.org/officeDocument/2006/relationships/hyperlink" Target="mailto:mgebremariam@myallamericancare.com" TargetMode="External"/><Relationship Id="rId7" Type="http://schemas.openxmlformats.org/officeDocument/2006/relationships/hyperlink" Target="mailto:micheller@viapa.org" TargetMode="External"/><Relationship Id="rId2" Type="http://schemas.openxmlformats.org/officeDocument/2006/relationships/hyperlink" Target="mailto:lkelly@kw.com" TargetMode="External"/><Relationship Id="rId1" Type="http://schemas.openxmlformats.org/officeDocument/2006/relationships/hyperlink" Target="mailto:stwigg@sadlerhealth.org" TargetMode="External"/><Relationship Id="rId6" Type="http://schemas.openxmlformats.org/officeDocument/2006/relationships/hyperlink" Target="mailto:juliannarodrigues@lvcil.org" TargetMode="External"/><Relationship Id="rId5" Type="http://schemas.openxmlformats.org/officeDocument/2006/relationships/hyperlink" Target="mailto:cwiercinski@pennstatehealth.psu.edu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mailto:katie@allintheatre.org" TargetMode="External"/><Relationship Id="rId9" Type="http://schemas.openxmlformats.org/officeDocument/2006/relationships/hyperlink" Target="mailto:tkts.b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77F3-66A2-443B-BC14-224BDB6DA7D1}">
  <dimension ref="A1:J38"/>
  <sheetViews>
    <sheetView topLeftCell="A7" workbookViewId="0">
      <selection activeCell="A13" sqref="A13:XFD13"/>
    </sheetView>
  </sheetViews>
  <sheetFormatPr defaultRowHeight="15" x14ac:dyDescent="0.2"/>
  <cols>
    <col min="1" max="1" width="33.62890625" bestFit="1" customWidth="1"/>
    <col min="2" max="2" width="39.4140625" bestFit="1" customWidth="1"/>
    <col min="3" max="3" width="33.08984375" customWidth="1"/>
  </cols>
  <sheetData>
    <row r="1" spans="1:9" x14ac:dyDescent="0.2">
      <c r="A1" s="149" t="s">
        <v>0</v>
      </c>
      <c r="B1" s="149"/>
      <c r="C1" s="37" t="s">
        <v>38</v>
      </c>
      <c r="D1" s="1"/>
      <c r="E1" s="1"/>
      <c r="F1" s="1"/>
      <c r="G1" s="1"/>
      <c r="H1" s="1"/>
    </row>
    <row r="2" spans="1:9" x14ac:dyDescent="0.2">
      <c r="A2" s="5" t="s">
        <v>7</v>
      </c>
      <c r="B2" s="5" t="s">
        <v>9</v>
      </c>
      <c r="C2" s="5"/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</row>
    <row r="3" spans="1:9" x14ac:dyDescent="0.2">
      <c r="A3" s="6" t="s">
        <v>461</v>
      </c>
      <c r="B3" s="6" t="s">
        <v>73</v>
      </c>
      <c r="C3" s="6"/>
      <c r="D3" s="6"/>
      <c r="E3" s="6"/>
      <c r="F3" s="6"/>
      <c r="G3" s="6"/>
      <c r="H3" s="6">
        <v>1</v>
      </c>
      <c r="I3" s="6"/>
    </row>
    <row r="4" spans="1:9" x14ac:dyDescent="0.2">
      <c r="A4" s="6" t="s">
        <v>462</v>
      </c>
      <c r="B4" s="6" t="s">
        <v>10</v>
      </c>
      <c r="C4" s="6"/>
      <c r="D4" s="6"/>
      <c r="E4" s="6"/>
      <c r="F4" s="6"/>
      <c r="G4" s="6"/>
      <c r="H4" s="6"/>
      <c r="I4" s="6">
        <v>1</v>
      </c>
    </row>
    <row r="5" spans="1:9" x14ac:dyDescent="0.2">
      <c r="A5" s="6"/>
      <c r="B5" s="6" t="s">
        <v>489</v>
      </c>
      <c r="C5" s="6"/>
      <c r="D5" s="6"/>
      <c r="E5" s="6"/>
      <c r="F5" s="6"/>
      <c r="G5" s="6"/>
      <c r="H5" s="6"/>
      <c r="I5" s="6"/>
    </row>
    <row r="6" spans="1:9" x14ac:dyDescent="0.2">
      <c r="A6" s="6" t="s">
        <v>463</v>
      </c>
      <c r="B6" s="6" t="s">
        <v>51</v>
      </c>
      <c r="C6" s="6"/>
      <c r="D6" s="6"/>
      <c r="E6" s="6"/>
      <c r="F6" s="6"/>
      <c r="G6" s="6"/>
      <c r="H6" s="6">
        <v>1</v>
      </c>
      <c r="I6" s="6"/>
    </row>
    <row r="7" spans="1:9" x14ac:dyDescent="0.2">
      <c r="A7" s="6" t="s">
        <v>464</v>
      </c>
      <c r="B7" s="6" t="s">
        <v>23</v>
      </c>
      <c r="C7" s="6"/>
      <c r="D7" s="6"/>
      <c r="E7" s="6"/>
      <c r="F7" s="6"/>
      <c r="G7" s="6"/>
      <c r="H7" s="6">
        <v>1</v>
      </c>
      <c r="I7" s="6"/>
    </row>
    <row r="8" spans="1:9" x14ac:dyDescent="0.2">
      <c r="A8" s="6" t="s">
        <v>8</v>
      </c>
      <c r="B8" s="6" t="s">
        <v>53</v>
      </c>
      <c r="C8" s="6"/>
      <c r="D8" s="6"/>
      <c r="E8" s="6">
        <v>1</v>
      </c>
      <c r="F8" s="6"/>
      <c r="G8" s="6"/>
      <c r="H8" s="6"/>
      <c r="I8" s="6"/>
    </row>
    <row r="9" spans="1:9" x14ac:dyDescent="0.2">
      <c r="A9" s="6" t="s">
        <v>12</v>
      </c>
      <c r="B9" s="6" t="s">
        <v>53</v>
      </c>
      <c r="C9" s="6"/>
      <c r="D9" s="6"/>
      <c r="E9" s="6">
        <v>1</v>
      </c>
      <c r="F9" s="6"/>
      <c r="G9" s="6"/>
      <c r="H9" s="6"/>
      <c r="I9" s="6"/>
    </row>
    <row r="10" spans="1:9" x14ac:dyDescent="0.2">
      <c r="A10" s="6" t="s">
        <v>52</v>
      </c>
      <c r="B10" s="6" t="s">
        <v>53</v>
      </c>
      <c r="C10" s="6"/>
      <c r="D10" s="6"/>
      <c r="E10" s="6"/>
      <c r="F10" s="6">
        <v>1</v>
      </c>
      <c r="G10" s="6"/>
      <c r="H10" s="6"/>
      <c r="I10" s="6"/>
    </row>
    <row r="11" spans="1:9" x14ac:dyDescent="0.2">
      <c r="A11" s="6" t="s">
        <v>13</v>
      </c>
      <c r="B11" s="6" t="s">
        <v>54</v>
      </c>
      <c r="C11" s="6"/>
      <c r="D11" s="6"/>
      <c r="E11" s="6">
        <v>1</v>
      </c>
      <c r="F11" s="6"/>
      <c r="G11" s="6"/>
      <c r="H11" s="6"/>
      <c r="I11" s="6"/>
    </row>
    <row r="12" spans="1:9" x14ac:dyDescent="0.2">
      <c r="A12" s="6" t="s">
        <v>15</v>
      </c>
      <c r="B12" s="6" t="s">
        <v>14</v>
      </c>
      <c r="C12" s="6"/>
      <c r="D12" s="6"/>
      <c r="E12" s="6">
        <v>1</v>
      </c>
      <c r="F12" s="6"/>
      <c r="G12" s="6"/>
      <c r="H12" s="6"/>
      <c r="I12" s="6"/>
    </row>
    <row r="13" spans="1:9" x14ac:dyDescent="0.2">
      <c r="A13" s="6" t="s">
        <v>16</v>
      </c>
      <c r="B13" s="6" t="s">
        <v>17</v>
      </c>
      <c r="C13" s="6"/>
      <c r="D13" s="6"/>
      <c r="E13" s="6"/>
      <c r="F13" s="6" t="s">
        <v>37</v>
      </c>
      <c r="G13" s="6">
        <v>1</v>
      </c>
      <c r="H13" s="6"/>
      <c r="I13" s="6"/>
    </row>
    <row r="14" spans="1:9" x14ac:dyDescent="0.2">
      <c r="A14" s="6" t="s">
        <v>18</v>
      </c>
      <c r="B14" s="6" t="s">
        <v>17</v>
      </c>
      <c r="C14" s="6"/>
      <c r="D14" s="6"/>
      <c r="E14" s="6"/>
      <c r="F14" s="6">
        <v>1</v>
      </c>
      <c r="G14" s="6"/>
      <c r="H14" s="6"/>
      <c r="I14" s="6"/>
    </row>
    <row r="15" spans="1:9" x14ac:dyDescent="0.2">
      <c r="A15" s="6" t="s">
        <v>19</v>
      </c>
      <c r="B15" s="6" t="s">
        <v>20</v>
      </c>
      <c r="C15" s="6"/>
      <c r="D15" s="6"/>
      <c r="E15" s="6"/>
      <c r="F15" s="6"/>
      <c r="G15" s="6"/>
      <c r="H15" s="6" t="s">
        <v>37</v>
      </c>
      <c r="I15" s="6">
        <v>1</v>
      </c>
    </row>
    <row r="16" spans="1:9" x14ac:dyDescent="0.2">
      <c r="A16" s="6" t="s">
        <v>49</v>
      </c>
      <c r="B16" s="6" t="s">
        <v>20</v>
      </c>
      <c r="C16" s="6"/>
      <c r="D16" s="6"/>
      <c r="E16" s="6">
        <v>1</v>
      </c>
      <c r="F16" s="6"/>
      <c r="G16" s="6"/>
      <c r="H16" s="6"/>
      <c r="I16" s="6"/>
    </row>
    <row r="17" spans="1:9" x14ac:dyDescent="0.2">
      <c r="A17" s="6" t="s">
        <v>56</v>
      </c>
      <c r="B17" s="6" t="s">
        <v>488</v>
      </c>
      <c r="C17" s="6"/>
      <c r="D17" s="6"/>
      <c r="E17" s="6">
        <v>1</v>
      </c>
      <c r="F17" s="6"/>
      <c r="G17" s="6"/>
      <c r="H17" s="6"/>
      <c r="I17" s="6"/>
    </row>
    <row r="18" spans="1:9" x14ac:dyDescent="0.2">
      <c r="A18" s="6" t="s">
        <v>37</v>
      </c>
      <c r="B18" s="6" t="s">
        <v>48</v>
      </c>
      <c r="C18" s="6"/>
      <c r="D18" s="6"/>
      <c r="E18" s="6" t="s">
        <v>37</v>
      </c>
      <c r="F18" s="6"/>
      <c r="G18" s="6"/>
      <c r="H18" s="6"/>
      <c r="I18" s="6"/>
    </row>
    <row r="19" spans="1:9" x14ac:dyDescent="0.2">
      <c r="A19" s="6" t="s">
        <v>438</v>
      </c>
      <c r="B19" s="6" t="s">
        <v>487</v>
      </c>
      <c r="C19" s="6"/>
      <c r="D19" s="6"/>
      <c r="E19" s="6">
        <v>1</v>
      </c>
      <c r="F19" s="6"/>
      <c r="G19" s="6"/>
      <c r="H19" s="6"/>
      <c r="I19" s="6"/>
    </row>
    <row r="20" spans="1:9" x14ac:dyDescent="0.2">
      <c r="A20" s="6"/>
      <c r="B20" s="6" t="s">
        <v>21</v>
      </c>
      <c r="C20" s="6"/>
      <c r="D20" s="6"/>
      <c r="E20" s="6"/>
      <c r="F20" s="6"/>
      <c r="G20" s="6"/>
      <c r="H20" s="6"/>
      <c r="I20" s="6"/>
    </row>
    <row r="21" spans="1:9" x14ac:dyDescent="0.2">
      <c r="A21" s="6"/>
      <c r="B21" s="6" t="s">
        <v>21</v>
      </c>
      <c r="C21" s="6"/>
      <c r="D21" s="6"/>
      <c r="E21" s="6"/>
      <c r="F21" s="6"/>
      <c r="G21" s="6"/>
      <c r="H21" s="6"/>
      <c r="I21" s="6"/>
    </row>
    <row r="22" spans="1:9" x14ac:dyDescent="0.2">
      <c r="A22" s="6"/>
      <c r="B22" s="6" t="s">
        <v>22</v>
      </c>
      <c r="C22" s="6"/>
      <c r="D22" s="6"/>
      <c r="E22" s="6"/>
      <c r="F22" s="6"/>
      <c r="G22" s="6"/>
      <c r="H22" s="6"/>
      <c r="I22" s="6"/>
    </row>
    <row r="23" spans="1:9" x14ac:dyDescent="0.2">
      <c r="A23" s="6"/>
      <c r="B23" s="6" t="s">
        <v>22</v>
      </c>
      <c r="C23" s="6"/>
      <c r="D23" s="6"/>
      <c r="E23" s="6"/>
      <c r="F23" s="6"/>
      <c r="G23" s="6"/>
      <c r="H23" s="6"/>
      <c r="I23" s="6"/>
    </row>
    <row r="24" spans="1:9" x14ac:dyDescent="0.2">
      <c r="A24" s="6" t="s">
        <v>50</v>
      </c>
      <c r="B24" s="6" t="s">
        <v>55</v>
      </c>
      <c r="C24" s="6"/>
      <c r="D24" s="6"/>
      <c r="E24" s="6"/>
      <c r="F24" s="6"/>
      <c r="G24" s="6">
        <v>1</v>
      </c>
      <c r="H24" s="6"/>
      <c r="I24" s="6"/>
    </row>
    <row r="25" spans="1:9" x14ac:dyDescent="0.2">
      <c r="A25" s="6" t="s">
        <v>471</v>
      </c>
      <c r="B25" s="6" t="s">
        <v>470</v>
      </c>
      <c r="C25" s="6"/>
      <c r="D25" s="34"/>
      <c r="E25" s="34" t="s">
        <v>37</v>
      </c>
      <c r="F25" s="34"/>
      <c r="G25" s="34"/>
      <c r="H25" s="34"/>
      <c r="I25" s="34"/>
    </row>
    <row r="26" spans="1:9" x14ac:dyDescent="0.2">
      <c r="A26" s="6" t="s">
        <v>472</v>
      </c>
      <c r="B26" s="6" t="s">
        <v>470</v>
      </c>
      <c r="C26" s="6"/>
      <c r="D26" s="34"/>
      <c r="E26" s="34"/>
      <c r="F26" s="34"/>
      <c r="G26" s="34"/>
      <c r="H26" s="34" t="s">
        <v>37</v>
      </c>
      <c r="I26" s="34"/>
    </row>
    <row r="27" spans="1:9" x14ac:dyDescent="0.2">
      <c r="A27" s="6" t="s">
        <v>435</v>
      </c>
      <c r="B27" s="6" t="s">
        <v>468</v>
      </c>
      <c r="C27" s="6"/>
      <c r="D27" s="6"/>
      <c r="E27" s="6"/>
      <c r="F27" s="6"/>
      <c r="G27" s="6"/>
      <c r="H27" s="6">
        <v>1</v>
      </c>
      <c r="I27" s="6"/>
    </row>
    <row r="28" spans="1:9" x14ac:dyDescent="0.2">
      <c r="A28" s="6" t="s">
        <v>469</v>
      </c>
      <c r="B28" s="6"/>
      <c r="C28" s="6"/>
      <c r="D28" s="6"/>
      <c r="E28" s="6"/>
      <c r="F28" s="6"/>
      <c r="G28" s="6">
        <v>11</v>
      </c>
      <c r="H28" s="6"/>
      <c r="I28" s="6"/>
    </row>
    <row r="29" spans="1:9" x14ac:dyDescent="0.2">
      <c r="A29" s="6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5" t="s">
        <v>24</v>
      </c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6" t="s">
        <v>436</v>
      </c>
      <c r="B31" s="6" t="s">
        <v>11</v>
      </c>
      <c r="C31" s="6"/>
      <c r="D31" s="6"/>
      <c r="E31" s="6"/>
      <c r="F31" s="6">
        <v>1</v>
      </c>
      <c r="G31" s="6"/>
      <c r="H31" s="6">
        <v>1</v>
      </c>
      <c r="I31" s="6"/>
    </row>
    <row r="32" spans="1:9" x14ac:dyDescent="0.2">
      <c r="A32" s="6" t="s">
        <v>465</v>
      </c>
      <c r="B32" s="6" t="s">
        <v>29</v>
      </c>
      <c r="C32" s="6"/>
      <c r="D32" s="6"/>
      <c r="E32" s="6"/>
      <c r="F32" s="6"/>
      <c r="G32" s="6">
        <v>1</v>
      </c>
      <c r="H32" s="6"/>
      <c r="I32" s="6"/>
    </row>
    <row r="33" spans="1:10" x14ac:dyDescent="0.2">
      <c r="A33" s="6" t="s">
        <v>466</v>
      </c>
      <c r="B33" s="6" t="s">
        <v>11</v>
      </c>
      <c r="C33" s="6"/>
      <c r="D33" s="6"/>
      <c r="E33" s="6"/>
      <c r="F33" s="6"/>
      <c r="G33" s="6">
        <v>1</v>
      </c>
      <c r="H33" s="6"/>
      <c r="I33" s="6"/>
    </row>
    <row r="34" spans="1:10" x14ac:dyDescent="0.2">
      <c r="A34" s="6" t="s">
        <v>467</v>
      </c>
      <c r="B34" s="6" t="s">
        <v>30</v>
      </c>
      <c r="C34" s="6"/>
      <c r="D34" s="6"/>
      <c r="E34" s="6">
        <v>1</v>
      </c>
      <c r="F34" s="6"/>
      <c r="G34" s="6"/>
      <c r="H34" s="6"/>
      <c r="I34" s="6"/>
    </row>
    <row r="35" spans="1:10" x14ac:dyDescent="0.2">
      <c r="A35" s="6" t="s">
        <v>28</v>
      </c>
      <c r="B35" s="6" t="s">
        <v>31</v>
      </c>
      <c r="C35" s="6"/>
      <c r="D35" s="6"/>
      <c r="E35" s="6"/>
      <c r="F35" s="6"/>
      <c r="G35" s="6">
        <v>1</v>
      </c>
      <c r="H35" s="6"/>
      <c r="I35" s="6"/>
    </row>
    <row r="36" spans="1:10" x14ac:dyDescent="0.2">
      <c r="A36" s="6" t="s">
        <v>57</v>
      </c>
      <c r="B36" s="6" t="s">
        <v>11</v>
      </c>
      <c r="C36" s="6"/>
      <c r="D36" s="6"/>
      <c r="E36" s="6"/>
      <c r="F36" s="6"/>
      <c r="G36" s="6">
        <v>1</v>
      </c>
      <c r="H36" s="6"/>
      <c r="I36" s="6"/>
    </row>
    <row r="37" spans="1:10" x14ac:dyDescent="0.2">
      <c r="A37" s="6" t="s">
        <v>479</v>
      </c>
      <c r="B37" s="6" t="s">
        <v>437</v>
      </c>
      <c r="C37" s="6"/>
      <c r="D37" s="6"/>
      <c r="E37" s="6">
        <v>1</v>
      </c>
      <c r="F37" s="6"/>
      <c r="G37" s="6"/>
      <c r="H37" s="6">
        <v>1</v>
      </c>
      <c r="I37" s="6"/>
    </row>
    <row r="38" spans="1:10" x14ac:dyDescent="0.2">
      <c r="B38" s="7" t="s">
        <v>58</v>
      </c>
      <c r="D38">
        <f>SUM(D3:D37)</f>
        <v>0</v>
      </c>
      <c r="E38">
        <f t="shared" ref="E38:I38" si="0">SUM(E3:E37)</f>
        <v>9</v>
      </c>
      <c r="F38">
        <f t="shared" si="0"/>
        <v>3</v>
      </c>
      <c r="G38">
        <f t="shared" si="0"/>
        <v>17</v>
      </c>
      <c r="H38">
        <f t="shared" si="0"/>
        <v>6</v>
      </c>
      <c r="I38">
        <f t="shared" si="0"/>
        <v>2</v>
      </c>
      <c r="J38">
        <f>SUM(D38:I38)</f>
        <v>37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8F36-3BA4-48C5-AC2F-91668E162F7F}">
  <dimension ref="A1:G108"/>
  <sheetViews>
    <sheetView workbookViewId="0">
      <selection activeCell="C9" sqref="C9"/>
    </sheetView>
  </sheetViews>
  <sheetFormatPr defaultRowHeight="15" x14ac:dyDescent="0.2"/>
  <cols>
    <col min="1" max="1" width="45.46875" style="12" bestFit="1" customWidth="1"/>
    <col min="2" max="2" width="27.0390625" bestFit="1" customWidth="1"/>
    <col min="3" max="3" width="168.55859375" bestFit="1" customWidth="1"/>
    <col min="4" max="4" width="17.21875" customWidth="1"/>
    <col min="5" max="5" width="34.97265625" bestFit="1" customWidth="1"/>
    <col min="6" max="6" width="46.9453125" bestFit="1" customWidth="1"/>
    <col min="7" max="7" width="38.47265625" customWidth="1"/>
  </cols>
  <sheetData>
    <row r="1" spans="1:7" ht="19.5" thickBot="1" x14ac:dyDescent="0.3">
      <c r="A1" s="150" t="s">
        <v>74</v>
      </c>
      <c r="B1" s="150"/>
      <c r="C1" s="150"/>
      <c r="D1" s="150"/>
      <c r="E1" s="150"/>
      <c r="G1" s="9" t="s">
        <v>75</v>
      </c>
    </row>
    <row r="2" spans="1:7" x14ac:dyDescent="0.2">
      <c r="A2" s="10" t="s">
        <v>76</v>
      </c>
      <c r="B2" s="11" t="s">
        <v>77</v>
      </c>
      <c r="C2" s="11" t="s">
        <v>78</v>
      </c>
      <c r="D2" s="11" t="s">
        <v>79</v>
      </c>
      <c r="E2" s="11" t="s">
        <v>80</v>
      </c>
      <c r="F2" s="11" t="s">
        <v>81</v>
      </c>
    </row>
    <row r="3" spans="1:7" x14ac:dyDescent="0.2">
      <c r="A3" s="12" t="s">
        <v>82</v>
      </c>
      <c r="B3" t="s">
        <v>83</v>
      </c>
      <c r="C3" s="13" t="s">
        <v>84</v>
      </c>
      <c r="D3" t="s">
        <v>85</v>
      </c>
      <c r="F3" t="s">
        <v>86</v>
      </c>
    </row>
    <row r="4" spans="1:7" x14ac:dyDescent="0.2">
      <c r="A4" s="12" t="s">
        <v>87</v>
      </c>
      <c r="B4" t="s">
        <v>88</v>
      </c>
      <c r="C4" s="13" t="s">
        <v>89</v>
      </c>
      <c r="D4" t="s">
        <v>90</v>
      </c>
      <c r="E4" s="4" t="s">
        <v>91</v>
      </c>
    </row>
    <row r="5" spans="1:7" x14ac:dyDescent="0.2">
      <c r="A5" s="12" t="s">
        <v>92</v>
      </c>
      <c r="B5" t="s">
        <v>93</v>
      </c>
      <c r="C5" s="13" t="s">
        <v>94</v>
      </c>
      <c r="D5" t="s">
        <v>95</v>
      </c>
      <c r="E5" s="4" t="s">
        <v>96</v>
      </c>
      <c r="F5" t="s">
        <v>97</v>
      </c>
    </row>
    <row r="6" spans="1:7" x14ac:dyDescent="0.2">
      <c r="A6" s="12" t="s">
        <v>98</v>
      </c>
      <c r="B6" t="s">
        <v>99</v>
      </c>
      <c r="C6" s="13" t="s">
        <v>100</v>
      </c>
      <c r="D6" t="s">
        <v>101</v>
      </c>
      <c r="E6" s="4" t="s">
        <v>102</v>
      </c>
      <c r="F6" t="s">
        <v>103</v>
      </c>
    </row>
    <row r="7" spans="1:7" x14ac:dyDescent="0.2">
      <c r="A7" s="12" t="s">
        <v>104</v>
      </c>
      <c r="B7" t="s">
        <v>105</v>
      </c>
      <c r="C7" s="13" t="s">
        <v>106</v>
      </c>
      <c r="D7" t="s">
        <v>107</v>
      </c>
      <c r="E7" s="4" t="s">
        <v>108</v>
      </c>
      <c r="F7" t="s">
        <v>109</v>
      </c>
    </row>
    <row r="8" spans="1:7" x14ac:dyDescent="0.2">
      <c r="A8" s="12" t="s">
        <v>115</v>
      </c>
      <c r="B8" t="s">
        <v>116</v>
      </c>
      <c r="C8" s="13" t="s">
        <v>117</v>
      </c>
      <c r="D8" t="s">
        <v>118</v>
      </c>
      <c r="E8" s="4" t="s">
        <v>119</v>
      </c>
      <c r="F8" t="s">
        <v>120</v>
      </c>
    </row>
    <row r="9" spans="1:7" x14ac:dyDescent="0.2">
      <c r="A9" s="12" t="s">
        <v>121</v>
      </c>
      <c r="B9" t="s">
        <v>122</v>
      </c>
      <c r="C9" s="13" t="s">
        <v>123</v>
      </c>
      <c r="E9" s="4" t="s">
        <v>124</v>
      </c>
      <c r="F9" t="s">
        <v>125</v>
      </c>
    </row>
    <row r="10" spans="1:7" x14ac:dyDescent="0.2">
      <c r="A10" s="12" t="s">
        <v>136</v>
      </c>
      <c r="B10" t="s">
        <v>137</v>
      </c>
      <c r="C10" s="13" t="s">
        <v>138</v>
      </c>
      <c r="F10" t="s">
        <v>139</v>
      </c>
    </row>
    <row r="11" spans="1:7" x14ac:dyDescent="0.2">
      <c r="A11" s="12" t="s">
        <v>140</v>
      </c>
      <c r="B11" t="s">
        <v>141</v>
      </c>
      <c r="C11" s="13" t="s">
        <v>142</v>
      </c>
    </row>
    <row r="12" spans="1:7" x14ac:dyDescent="0.2">
      <c r="A12" s="12" t="s">
        <v>143</v>
      </c>
      <c r="B12" t="s">
        <v>144</v>
      </c>
      <c r="C12" s="14" t="s">
        <v>145</v>
      </c>
      <c r="D12" s="15" t="s">
        <v>146</v>
      </c>
      <c r="F12" t="s">
        <v>147</v>
      </c>
    </row>
    <row r="13" spans="1:7" x14ac:dyDescent="0.2">
      <c r="A13" s="16" t="s">
        <v>148</v>
      </c>
      <c r="B13" s="16" t="s">
        <v>149</v>
      </c>
      <c r="C13" s="14" t="s">
        <v>150</v>
      </c>
      <c r="F13" t="s">
        <v>151</v>
      </c>
    </row>
    <row r="14" spans="1:7" x14ac:dyDescent="0.2">
      <c r="A14" s="16" t="s">
        <v>152</v>
      </c>
      <c r="B14" s="16" t="s">
        <v>153</v>
      </c>
      <c r="C14" s="17" t="s">
        <v>154</v>
      </c>
    </row>
    <row r="15" spans="1:7" x14ac:dyDescent="0.2">
      <c r="A15" s="12" t="s">
        <v>155</v>
      </c>
      <c r="B15" s="16" t="s">
        <v>156</v>
      </c>
      <c r="C15" s="14" t="s">
        <v>157</v>
      </c>
    </row>
    <row r="16" spans="1:7" x14ac:dyDescent="0.2">
      <c r="A16" t="s">
        <v>158</v>
      </c>
      <c r="C16" s="13" t="s">
        <v>159</v>
      </c>
    </row>
    <row r="17" spans="1:6" x14ac:dyDescent="0.2">
      <c r="A17" s="12" t="s">
        <v>164</v>
      </c>
      <c r="B17" s="16" t="s">
        <v>165</v>
      </c>
      <c r="C17" s="13" t="s">
        <v>166</v>
      </c>
      <c r="D17" t="s">
        <v>167</v>
      </c>
    </row>
    <row r="18" spans="1:6" x14ac:dyDescent="0.2">
      <c r="A18" s="12" t="s">
        <v>168</v>
      </c>
      <c r="B18" t="s">
        <v>169</v>
      </c>
      <c r="C18" s="13" t="s">
        <v>170</v>
      </c>
    </row>
    <row r="19" spans="1:6" x14ac:dyDescent="0.2">
      <c r="A19" s="12" t="s">
        <v>176</v>
      </c>
      <c r="B19" t="s">
        <v>177</v>
      </c>
      <c r="C19" s="13" t="s">
        <v>178</v>
      </c>
      <c r="D19" t="s">
        <v>179</v>
      </c>
    </row>
    <row r="20" spans="1:6" x14ac:dyDescent="0.2">
      <c r="A20" s="12" t="s">
        <v>180</v>
      </c>
      <c r="C20" s="13" t="s">
        <v>181</v>
      </c>
    </row>
    <row r="21" spans="1:6" x14ac:dyDescent="0.2">
      <c r="A21" s="12" t="s">
        <v>182</v>
      </c>
      <c r="C21" s="13" t="s">
        <v>183</v>
      </c>
    </row>
    <row r="22" spans="1:6" x14ac:dyDescent="0.2">
      <c r="A22" s="12" t="s">
        <v>184</v>
      </c>
      <c r="C22" s="13" t="s">
        <v>185</v>
      </c>
    </row>
    <row r="23" spans="1:6" x14ac:dyDescent="0.2">
      <c r="A23" s="12" t="s">
        <v>186</v>
      </c>
      <c r="C23" s="13" t="s">
        <v>187</v>
      </c>
    </row>
    <row r="24" spans="1:6" x14ac:dyDescent="0.2">
      <c r="A24" s="12" t="s">
        <v>188</v>
      </c>
      <c r="C24" s="13" t="s">
        <v>189</v>
      </c>
    </row>
    <row r="25" spans="1:6" x14ac:dyDescent="0.2">
      <c r="A25" s="12" t="s">
        <v>190</v>
      </c>
      <c r="C25" s="13" t="s">
        <v>191</v>
      </c>
    </row>
    <row r="26" spans="1:6" x14ac:dyDescent="0.2">
      <c r="A26" s="12" t="s">
        <v>192</v>
      </c>
      <c r="C26" s="13" t="s">
        <v>193</v>
      </c>
    </row>
    <row r="27" spans="1:6" x14ac:dyDescent="0.2">
      <c r="A27" s="12" t="s">
        <v>194</v>
      </c>
      <c r="C27" s="13" t="s">
        <v>195</v>
      </c>
    </row>
    <row r="28" spans="1:6" x14ac:dyDescent="0.2">
      <c r="A28" s="12" t="s">
        <v>196</v>
      </c>
      <c r="C28" s="13" t="s">
        <v>197</v>
      </c>
    </row>
    <row r="29" spans="1:6" x14ac:dyDescent="0.2">
      <c r="A29" s="12" t="s">
        <v>198</v>
      </c>
      <c r="C29" s="13" t="s">
        <v>199</v>
      </c>
      <c r="D29" t="s">
        <v>200</v>
      </c>
    </row>
    <row r="30" spans="1:6" x14ac:dyDescent="0.2">
      <c r="A30" s="12" t="s">
        <v>205</v>
      </c>
      <c r="B30" t="s">
        <v>206</v>
      </c>
      <c r="C30" s="13" t="s">
        <v>207</v>
      </c>
      <c r="D30" t="s">
        <v>208</v>
      </c>
    </row>
    <row r="31" spans="1:6" x14ac:dyDescent="0.2">
      <c r="A31" s="12" t="s">
        <v>209</v>
      </c>
      <c r="B31" t="s">
        <v>210</v>
      </c>
      <c r="C31" s="13" t="s">
        <v>211</v>
      </c>
      <c r="D31" t="s">
        <v>212</v>
      </c>
      <c r="F31" t="s">
        <v>213</v>
      </c>
    </row>
    <row r="32" spans="1:6" x14ac:dyDescent="0.2">
      <c r="A32" s="12" t="s">
        <v>214</v>
      </c>
      <c r="C32" s="13" t="s">
        <v>215</v>
      </c>
      <c r="D32" t="s">
        <v>216</v>
      </c>
    </row>
    <row r="33" spans="1:6" x14ac:dyDescent="0.2">
      <c r="A33" s="12" t="s">
        <v>217</v>
      </c>
      <c r="B33" t="s">
        <v>218</v>
      </c>
      <c r="C33" s="13" t="s">
        <v>219</v>
      </c>
      <c r="D33" t="s">
        <v>220</v>
      </c>
      <c r="F33" t="s">
        <v>221</v>
      </c>
    </row>
    <row r="34" spans="1:6" x14ac:dyDescent="0.2">
      <c r="A34" s="12" t="s">
        <v>222</v>
      </c>
      <c r="B34" t="s">
        <v>223</v>
      </c>
      <c r="C34" s="13" t="s">
        <v>224</v>
      </c>
      <c r="F34" t="s">
        <v>225</v>
      </c>
    </row>
    <row r="35" spans="1:6" x14ac:dyDescent="0.2">
      <c r="A35" s="12" t="s">
        <v>226</v>
      </c>
      <c r="C35" s="13" t="s">
        <v>227</v>
      </c>
    </row>
    <row r="36" spans="1:6" x14ac:dyDescent="0.2">
      <c r="A36" s="12" t="s">
        <v>231</v>
      </c>
      <c r="B36" t="s">
        <v>232</v>
      </c>
      <c r="C36" s="18" t="s">
        <v>233</v>
      </c>
    </row>
    <row r="37" spans="1:6" x14ac:dyDescent="0.2">
      <c r="A37" s="12" t="s">
        <v>234</v>
      </c>
      <c r="B37" t="s">
        <v>235</v>
      </c>
      <c r="C37" s="13" t="s">
        <v>236</v>
      </c>
      <c r="D37" s="19"/>
    </row>
    <row r="38" spans="1:6" x14ac:dyDescent="0.2">
      <c r="A38" s="12" t="s">
        <v>237</v>
      </c>
      <c r="C38" s="13" t="s">
        <v>238</v>
      </c>
      <c r="D38" s="19"/>
    </row>
    <row r="39" spans="1:6" x14ac:dyDescent="0.2">
      <c r="A39" s="12" t="s">
        <v>239</v>
      </c>
      <c r="C39" s="13" t="s">
        <v>240</v>
      </c>
      <c r="D39" s="19"/>
    </row>
    <row r="40" spans="1:6" x14ac:dyDescent="0.2">
      <c r="A40" s="12" t="s">
        <v>242</v>
      </c>
      <c r="C40" s="13" t="s">
        <v>243</v>
      </c>
    </row>
    <row r="41" spans="1:6" x14ac:dyDescent="0.2">
      <c r="A41" s="12" t="s">
        <v>244</v>
      </c>
      <c r="B41" t="s">
        <v>245</v>
      </c>
      <c r="C41" s="13" t="s">
        <v>246</v>
      </c>
    </row>
    <row r="42" spans="1:6" x14ac:dyDescent="0.2">
      <c r="A42" s="12" t="s">
        <v>249</v>
      </c>
      <c r="B42" t="s">
        <v>250</v>
      </c>
      <c r="C42" s="13" t="s">
        <v>251</v>
      </c>
    </row>
    <row r="43" spans="1:6" x14ac:dyDescent="0.2">
      <c r="A43" s="12" t="s">
        <v>252</v>
      </c>
      <c r="B43" t="s">
        <v>253</v>
      </c>
      <c r="C43" s="13" t="s">
        <v>254</v>
      </c>
    </row>
    <row r="44" spans="1:6" x14ac:dyDescent="0.2">
      <c r="A44" s="12" t="s">
        <v>255</v>
      </c>
      <c r="B44" t="s">
        <v>256</v>
      </c>
      <c r="C44" s="20" t="s">
        <v>257</v>
      </c>
    </row>
    <row r="45" spans="1:6" x14ac:dyDescent="0.2">
      <c r="A45" s="12" t="s">
        <v>264</v>
      </c>
      <c r="B45" t="s">
        <v>265</v>
      </c>
      <c r="C45" s="20" t="s">
        <v>266</v>
      </c>
    </row>
    <row r="46" spans="1:6" x14ac:dyDescent="0.2">
      <c r="A46" t="s">
        <v>270</v>
      </c>
      <c r="B46" t="s">
        <v>271</v>
      </c>
      <c r="C46" s="13" t="s">
        <v>272</v>
      </c>
    </row>
    <row r="47" spans="1:6" x14ac:dyDescent="0.2">
      <c r="A47" s="12" t="s">
        <v>273</v>
      </c>
      <c r="B47" t="s">
        <v>274</v>
      </c>
      <c r="C47" s="13" t="s">
        <v>275</v>
      </c>
      <c r="D47" t="s">
        <v>276</v>
      </c>
      <c r="F47" t="s">
        <v>277</v>
      </c>
    </row>
    <row r="48" spans="1:6" x14ac:dyDescent="0.2">
      <c r="A48" s="12" t="s">
        <v>289</v>
      </c>
      <c r="B48" t="s">
        <v>290</v>
      </c>
      <c r="C48" s="13" t="s">
        <v>291</v>
      </c>
      <c r="D48" s="21" t="s">
        <v>292</v>
      </c>
    </row>
    <row r="49" spans="1:7" x14ac:dyDescent="0.2">
      <c r="A49" s="12" t="s">
        <v>293</v>
      </c>
      <c r="B49" t="s">
        <v>294</v>
      </c>
      <c r="C49" s="13" t="s">
        <v>295</v>
      </c>
    </row>
    <row r="50" spans="1:7" x14ac:dyDescent="0.2">
      <c r="A50" s="12" t="s">
        <v>148</v>
      </c>
      <c r="B50" t="s">
        <v>433</v>
      </c>
      <c r="C50" s="35" t="s">
        <v>432</v>
      </c>
    </row>
    <row r="51" spans="1:7" x14ac:dyDescent="0.2">
      <c r="A51" s="12" t="s">
        <v>440</v>
      </c>
      <c r="C51" s="20" t="s">
        <v>439</v>
      </c>
    </row>
    <row r="52" spans="1:7" x14ac:dyDescent="0.2">
      <c r="A52" s="12" t="s">
        <v>442</v>
      </c>
      <c r="C52" s="20" t="s">
        <v>441</v>
      </c>
    </row>
    <row r="53" spans="1:7" x14ac:dyDescent="0.2">
      <c r="A53" s="12" t="s">
        <v>444</v>
      </c>
      <c r="C53" s="20" t="s">
        <v>443</v>
      </c>
    </row>
    <row r="54" spans="1:7" x14ac:dyDescent="0.2">
      <c r="A54" s="12" t="s">
        <v>446</v>
      </c>
      <c r="C54" s="20" t="s">
        <v>445</v>
      </c>
    </row>
    <row r="55" spans="1:7" x14ac:dyDescent="0.2">
      <c r="A55" s="12" t="s">
        <v>448</v>
      </c>
      <c r="C55" s="36" t="s">
        <v>447</v>
      </c>
    </row>
    <row r="56" spans="1:7" x14ac:dyDescent="0.2">
      <c r="A56" s="12" t="s">
        <v>490</v>
      </c>
      <c r="B56" t="s">
        <v>491</v>
      </c>
    </row>
    <row r="57" spans="1:7" x14ac:dyDescent="0.2">
      <c r="A57" s="12" t="s">
        <v>637</v>
      </c>
      <c r="C57" t="s">
        <v>636</v>
      </c>
    </row>
    <row r="58" spans="1:7" x14ac:dyDescent="0.2">
      <c r="A58" s="22" t="s">
        <v>296</v>
      </c>
      <c r="B58" s="23"/>
      <c r="C58" s="23"/>
    </row>
    <row r="59" spans="1:7" x14ac:dyDescent="0.2">
      <c r="A59" s="12" t="s">
        <v>297</v>
      </c>
      <c r="B59" t="s">
        <v>298</v>
      </c>
      <c r="C59" s="24" t="s">
        <v>299</v>
      </c>
      <c r="D59" t="s">
        <v>300</v>
      </c>
      <c r="E59" s="4" t="s">
        <v>301</v>
      </c>
      <c r="F59" t="s">
        <v>302</v>
      </c>
      <c r="G59" t="s">
        <v>303</v>
      </c>
    </row>
    <row r="60" spans="1:7" x14ac:dyDescent="0.2">
      <c r="A60" s="12" t="s">
        <v>304</v>
      </c>
      <c r="B60" t="s">
        <v>305</v>
      </c>
      <c r="C60" s="24" t="s">
        <v>306</v>
      </c>
    </row>
    <row r="61" spans="1:7" x14ac:dyDescent="0.2">
      <c r="A61" s="12" t="s">
        <v>129</v>
      </c>
      <c r="B61" t="s">
        <v>130</v>
      </c>
      <c r="C61" s="24" t="s">
        <v>131</v>
      </c>
    </row>
    <row r="62" spans="1:7" x14ac:dyDescent="0.2">
      <c r="A62" s="12" t="s">
        <v>278</v>
      </c>
      <c r="B62" t="s">
        <v>279</v>
      </c>
      <c r="C62" s="24" t="s">
        <v>280</v>
      </c>
      <c r="D62" t="s">
        <v>281</v>
      </c>
    </row>
    <row r="63" spans="1:7" x14ac:dyDescent="0.2">
      <c r="A63" s="12" t="s">
        <v>473</v>
      </c>
      <c r="B63" t="s">
        <v>474</v>
      </c>
      <c r="C63" s="24" t="s">
        <v>476</v>
      </c>
      <c r="D63" t="s">
        <v>475</v>
      </c>
      <c r="E63" s="4" t="s">
        <v>477</v>
      </c>
      <c r="F63" t="s">
        <v>478</v>
      </c>
    </row>
    <row r="64" spans="1:7" x14ac:dyDescent="0.2">
      <c r="E64" s="4"/>
    </row>
    <row r="65" spans="1:6" ht="18.75" x14ac:dyDescent="0.25">
      <c r="A65" s="25" t="s">
        <v>307</v>
      </c>
      <c r="B65" s="23"/>
      <c r="C65" s="23"/>
    </row>
    <row r="66" spans="1:6" x14ac:dyDescent="0.2">
      <c r="A66" s="12" t="s">
        <v>308</v>
      </c>
      <c r="B66" t="s">
        <v>309</v>
      </c>
      <c r="C66" s="26" t="s">
        <v>310</v>
      </c>
      <c r="D66" t="s">
        <v>311</v>
      </c>
      <c r="E66" s="4" t="s">
        <v>312</v>
      </c>
      <c r="F66" t="s">
        <v>313</v>
      </c>
    </row>
    <row r="67" spans="1:6" x14ac:dyDescent="0.2">
      <c r="A67" s="12" t="s">
        <v>314</v>
      </c>
      <c r="B67" t="s">
        <v>309</v>
      </c>
      <c r="C67" s="26" t="s">
        <v>310</v>
      </c>
      <c r="D67" t="s">
        <v>311</v>
      </c>
      <c r="E67" s="4" t="s">
        <v>315</v>
      </c>
      <c r="F67" t="s">
        <v>316</v>
      </c>
    </row>
    <row r="68" spans="1:6" x14ac:dyDescent="0.2">
      <c r="A68" s="12" t="s">
        <v>317</v>
      </c>
      <c r="B68" s="16" t="s">
        <v>318</v>
      </c>
      <c r="C68" s="26" t="s">
        <v>319</v>
      </c>
    </row>
    <row r="69" spans="1:6" x14ac:dyDescent="0.2">
      <c r="A69" s="12" t="s">
        <v>320</v>
      </c>
      <c r="B69" t="s">
        <v>321</v>
      </c>
      <c r="C69" s="26" t="s">
        <v>322</v>
      </c>
      <c r="D69" t="s">
        <v>323</v>
      </c>
      <c r="E69" s="4" t="s">
        <v>324</v>
      </c>
      <c r="F69" t="s">
        <v>325</v>
      </c>
    </row>
    <row r="70" spans="1:6" x14ac:dyDescent="0.2">
      <c r="A70" s="12" t="s">
        <v>326</v>
      </c>
      <c r="B70" t="s">
        <v>37</v>
      </c>
      <c r="C70" s="26" t="s">
        <v>634</v>
      </c>
      <c r="D70" s="27" t="s">
        <v>328</v>
      </c>
      <c r="F70" t="s">
        <v>329</v>
      </c>
    </row>
    <row r="71" spans="1:6" x14ac:dyDescent="0.2">
      <c r="A71" s="12" t="s">
        <v>330</v>
      </c>
      <c r="B71" t="s">
        <v>331</v>
      </c>
      <c r="C71" s="26" t="s">
        <v>332</v>
      </c>
    </row>
    <row r="72" spans="1:6" x14ac:dyDescent="0.2">
      <c r="A72" s="12" t="s">
        <v>333</v>
      </c>
      <c r="B72" t="s">
        <v>334</v>
      </c>
      <c r="C72" s="26" t="s">
        <v>335</v>
      </c>
    </row>
    <row r="73" spans="1:6" x14ac:dyDescent="0.2">
      <c r="A73" s="12" t="s">
        <v>336</v>
      </c>
      <c r="B73" t="s">
        <v>337</v>
      </c>
      <c r="C73" s="26" t="s">
        <v>338</v>
      </c>
    </row>
    <row r="74" spans="1:6" x14ac:dyDescent="0.2">
      <c r="A74" s="12" t="s">
        <v>339</v>
      </c>
      <c r="B74" t="s">
        <v>340</v>
      </c>
      <c r="C74" s="26" t="s">
        <v>341</v>
      </c>
    </row>
    <row r="75" spans="1:6" x14ac:dyDescent="0.2">
      <c r="A75" s="12" t="s">
        <v>342</v>
      </c>
      <c r="B75" s="16" t="s">
        <v>343</v>
      </c>
      <c r="C75" s="28" t="s">
        <v>344</v>
      </c>
    </row>
    <row r="76" spans="1:6" x14ac:dyDescent="0.2">
      <c r="A76" s="12" t="s">
        <v>345</v>
      </c>
      <c r="B76" t="s">
        <v>346</v>
      </c>
      <c r="C76" s="26" t="s">
        <v>347</v>
      </c>
      <c r="F76" t="s">
        <v>348</v>
      </c>
    </row>
    <row r="77" spans="1:6" x14ac:dyDescent="0.2">
      <c r="A77" s="12" t="s">
        <v>349</v>
      </c>
      <c r="B77" t="s">
        <v>350</v>
      </c>
      <c r="C77" s="26" t="s">
        <v>351</v>
      </c>
    </row>
    <row r="78" spans="1:6" x14ac:dyDescent="0.2">
      <c r="A78" s="12" t="s">
        <v>352</v>
      </c>
      <c r="B78" t="s">
        <v>353</v>
      </c>
      <c r="C78" s="26" t="s">
        <v>354</v>
      </c>
      <c r="D78" t="s">
        <v>355</v>
      </c>
      <c r="F78" t="s">
        <v>356</v>
      </c>
    </row>
    <row r="79" spans="1:6" x14ac:dyDescent="0.2">
      <c r="A79" s="12" t="s">
        <v>357</v>
      </c>
      <c r="B79" s="16" t="s">
        <v>358</v>
      </c>
      <c r="C79" s="26" t="s">
        <v>359</v>
      </c>
    </row>
    <row r="80" spans="1:6" x14ac:dyDescent="0.2">
      <c r="A80" s="12" t="s">
        <v>360</v>
      </c>
      <c r="B80" t="s">
        <v>361</v>
      </c>
      <c r="C80" s="26" t="s">
        <v>362</v>
      </c>
      <c r="D80" s="29" t="s">
        <v>363</v>
      </c>
      <c r="E80" s="4" t="s">
        <v>364</v>
      </c>
      <c r="F80" t="s">
        <v>365</v>
      </c>
    </row>
    <row r="81" spans="1:6" x14ac:dyDescent="0.2">
      <c r="A81" s="12" t="s">
        <v>366</v>
      </c>
      <c r="B81" t="s">
        <v>367</v>
      </c>
      <c r="C81" s="26" t="s">
        <v>368</v>
      </c>
      <c r="D81" t="s">
        <v>369</v>
      </c>
      <c r="F81" t="s">
        <v>370</v>
      </c>
    </row>
    <row r="82" spans="1:6" x14ac:dyDescent="0.2">
      <c r="A82" s="12" t="s">
        <v>371</v>
      </c>
      <c r="B82" t="s">
        <v>372</v>
      </c>
      <c r="C82" s="26" t="s">
        <v>373</v>
      </c>
    </row>
    <row r="83" spans="1:6" x14ac:dyDescent="0.2">
      <c r="A83" s="12" t="s">
        <v>374</v>
      </c>
      <c r="B83" t="s">
        <v>375</v>
      </c>
      <c r="C83" s="26" t="s">
        <v>376</v>
      </c>
      <c r="E83" s="4" t="s">
        <v>377</v>
      </c>
      <c r="F83" t="s">
        <v>378</v>
      </c>
    </row>
    <row r="84" spans="1:6" x14ac:dyDescent="0.2">
      <c r="A84" s="16" t="s">
        <v>379</v>
      </c>
      <c r="B84" s="16" t="s">
        <v>380</v>
      </c>
      <c r="C84" s="28" t="s">
        <v>381</v>
      </c>
    </row>
    <row r="85" spans="1:6" x14ac:dyDescent="0.2">
      <c r="A85" s="12" t="s">
        <v>382</v>
      </c>
      <c r="B85" t="s">
        <v>383</v>
      </c>
      <c r="C85" s="26" t="s">
        <v>384</v>
      </c>
    </row>
    <row r="86" spans="1:6" ht="15.75" thickBot="1" x14ac:dyDescent="0.25">
      <c r="A86" s="12" t="s">
        <v>385</v>
      </c>
      <c r="B86" t="s">
        <v>386</v>
      </c>
      <c r="C86" s="26" t="s">
        <v>387</v>
      </c>
      <c r="D86" t="s">
        <v>434</v>
      </c>
    </row>
    <row r="87" spans="1:6" ht="15.75" thickBot="1" x14ac:dyDescent="0.25">
      <c r="A87" s="30" t="s">
        <v>388</v>
      </c>
      <c r="B87" t="s">
        <v>389</v>
      </c>
      <c r="C87" s="31" t="s">
        <v>390</v>
      </c>
    </row>
    <row r="88" spans="1:6" ht="15.75" thickBot="1" x14ac:dyDescent="0.25">
      <c r="A88" s="30" t="s">
        <v>391</v>
      </c>
      <c r="B88" t="s">
        <v>392</v>
      </c>
      <c r="C88" s="31" t="s">
        <v>393</v>
      </c>
    </row>
    <row r="89" spans="1:6" ht="15.75" thickBot="1" x14ac:dyDescent="0.25">
      <c r="A89" s="30" t="s">
        <v>394</v>
      </c>
      <c r="B89" t="s">
        <v>395</v>
      </c>
      <c r="C89" s="31" t="s">
        <v>396</v>
      </c>
    </row>
    <row r="90" spans="1:6" x14ac:dyDescent="0.2">
      <c r="A90" s="12" t="s">
        <v>126</v>
      </c>
      <c r="B90" t="s">
        <v>127</v>
      </c>
      <c r="C90" s="26" t="s">
        <v>128</v>
      </c>
    </row>
    <row r="91" spans="1:6" x14ac:dyDescent="0.2">
      <c r="A91" s="12" t="s">
        <v>258</v>
      </c>
      <c r="B91" t="s">
        <v>259</v>
      </c>
      <c r="C91" s="32" t="s">
        <v>260</v>
      </c>
    </row>
    <row r="92" spans="1:6" x14ac:dyDescent="0.2">
      <c r="A92" s="12" t="s">
        <v>267</v>
      </c>
      <c r="B92" t="s">
        <v>268</v>
      </c>
      <c r="C92" s="32" t="s">
        <v>269</v>
      </c>
    </row>
    <row r="93" spans="1:6" x14ac:dyDescent="0.2">
      <c r="A93" s="12" t="s">
        <v>261</v>
      </c>
      <c r="B93" t="s">
        <v>262</v>
      </c>
      <c r="C93" s="26" t="s">
        <v>263</v>
      </c>
    </row>
    <row r="94" spans="1:6" x14ac:dyDescent="0.2">
      <c r="A94" t="s">
        <v>282</v>
      </c>
      <c r="B94" t="s">
        <v>283</v>
      </c>
      <c r="C94" s="26" t="s">
        <v>284</v>
      </c>
      <c r="D94" t="s">
        <v>285</v>
      </c>
    </row>
    <row r="95" spans="1:6" x14ac:dyDescent="0.2">
      <c r="A95" s="12" t="s">
        <v>286</v>
      </c>
      <c r="B95" t="s">
        <v>287</v>
      </c>
      <c r="C95" s="26" t="s">
        <v>288</v>
      </c>
    </row>
    <row r="96" spans="1:6" x14ac:dyDescent="0.2">
      <c r="A96" s="12" t="s">
        <v>228</v>
      </c>
      <c r="C96" s="26" t="s">
        <v>229</v>
      </c>
      <c r="F96" t="s">
        <v>230</v>
      </c>
    </row>
    <row r="97" spans="1:6" x14ac:dyDescent="0.2">
      <c r="A97" s="12" t="s">
        <v>426</v>
      </c>
      <c r="B97" t="s">
        <v>427</v>
      </c>
      <c r="C97" s="26" t="s">
        <v>241</v>
      </c>
    </row>
    <row r="98" spans="1:6" x14ac:dyDescent="0.2">
      <c r="A98" s="12" t="s">
        <v>428</v>
      </c>
      <c r="B98" t="s">
        <v>429</v>
      </c>
      <c r="C98" s="33" t="s">
        <v>430</v>
      </c>
    </row>
    <row r="99" spans="1:6" x14ac:dyDescent="0.2">
      <c r="A99" s="12" t="s">
        <v>247</v>
      </c>
      <c r="C99" s="26" t="s">
        <v>248</v>
      </c>
    </row>
    <row r="100" spans="1:6" x14ac:dyDescent="0.2">
      <c r="A100" s="12" t="s">
        <v>26</v>
      </c>
      <c r="B100" t="s">
        <v>132</v>
      </c>
      <c r="C100" s="26" t="s">
        <v>133</v>
      </c>
    </row>
    <row r="101" spans="1:6" x14ac:dyDescent="0.2">
      <c r="A101" s="12" t="s">
        <v>160</v>
      </c>
      <c r="B101" s="16" t="s">
        <v>161</v>
      </c>
      <c r="C101" s="26" t="s">
        <v>162</v>
      </c>
      <c r="F101" t="s">
        <v>163</v>
      </c>
    </row>
    <row r="102" spans="1:6" x14ac:dyDescent="0.2">
      <c r="A102" s="12" t="s">
        <v>456</v>
      </c>
      <c r="B102" t="s">
        <v>457</v>
      </c>
      <c r="C102" s="26" t="s">
        <v>458</v>
      </c>
    </row>
    <row r="103" spans="1:6" x14ac:dyDescent="0.2">
      <c r="A103" s="12" t="s">
        <v>110</v>
      </c>
      <c r="B103" t="s">
        <v>111</v>
      </c>
      <c r="C103" s="26" t="s">
        <v>112</v>
      </c>
      <c r="E103" s="4" t="s">
        <v>113</v>
      </c>
      <c r="F103" t="s">
        <v>114</v>
      </c>
    </row>
    <row r="104" spans="1:6" x14ac:dyDescent="0.2">
      <c r="A104" s="12" t="s">
        <v>450</v>
      </c>
      <c r="C104" s="32" t="s">
        <v>449</v>
      </c>
    </row>
    <row r="105" spans="1:6" x14ac:dyDescent="0.2">
      <c r="A105" s="12" t="s">
        <v>171</v>
      </c>
      <c r="B105" t="s">
        <v>172</v>
      </c>
      <c r="C105" s="26" t="s">
        <v>173</v>
      </c>
      <c r="D105" t="s">
        <v>174</v>
      </c>
      <c r="E105" s="4" t="s">
        <v>175</v>
      </c>
    </row>
    <row r="106" spans="1:6" x14ac:dyDescent="0.2">
      <c r="A106" s="12" t="s">
        <v>201</v>
      </c>
      <c r="C106" s="26" t="s">
        <v>202</v>
      </c>
      <c r="D106" t="s">
        <v>203</v>
      </c>
      <c r="F106" t="s">
        <v>204</v>
      </c>
    </row>
    <row r="107" spans="1:6" x14ac:dyDescent="0.2">
      <c r="A107" s="12" t="s">
        <v>635</v>
      </c>
      <c r="B107" t="s">
        <v>327</v>
      </c>
      <c r="C107" s="26" t="s">
        <v>633</v>
      </c>
    </row>
    <row r="108" spans="1:6" x14ac:dyDescent="0.2">
      <c r="A108" s="12" t="s">
        <v>68</v>
      </c>
      <c r="B108" t="s">
        <v>641</v>
      </c>
      <c r="C108" s="26" t="s">
        <v>640</v>
      </c>
    </row>
  </sheetData>
  <mergeCells count="1">
    <mergeCell ref="A1:E1"/>
  </mergeCells>
  <hyperlinks>
    <hyperlink ref="C73" r:id="rId1" display="mailto:alyson@focusedapproach.com" xr:uid="{BFAB1151-F830-4B67-B02C-E549EA2CEB6D}"/>
    <hyperlink ref="C66" r:id="rId2" xr:uid="{7DA46029-8DCD-4F21-92C6-94196CFF0404}"/>
    <hyperlink ref="E66" r:id="rId3" xr:uid="{B0F18D19-BD92-4A5B-AAF7-B9F6E6AA1D84}"/>
    <hyperlink ref="C67" r:id="rId4" xr:uid="{D393C8BD-E1AB-40EE-A86C-712D087F5C48}"/>
    <hyperlink ref="E67" r:id="rId5" xr:uid="{700456D2-E838-4ACE-A95D-8C74DDDD5BEC}"/>
    <hyperlink ref="C3" r:id="rId6" xr:uid="{D98F6F7D-B067-4A55-8A62-0E33F3D81F9B}"/>
    <hyperlink ref="C4" r:id="rId7" xr:uid="{595B3A4C-4867-45F2-B008-CF0DDED8BAF5}"/>
    <hyperlink ref="E4" r:id="rId8" xr:uid="{8340802E-C197-41B8-A53F-2DD60998C01C}"/>
    <hyperlink ref="C5" r:id="rId9" xr:uid="{6553FA25-690D-45C5-8701-9CB957F698B4}"/>
    <hyperlink ref="E5" r:id="rId10" xr:uid="{DECEE608-0742-432E-80E8-576DE6CBEA2B}"/>
    <hyperlink ref="C6" r:id="rId11" xr:uid="{3C2063F2-9AFE-4D4B-B73B-76DCCD5C066B}"/>
    <hyperlink ref="E6" r:id="rId12" xr:uid="{9FC4A21E-223F-4EF5-96C8-833201C0F9FC}"/>
    <hyperlink ref="C59" r:id="rId13" xr:uid="{03F0ACFA-E833-4EA5-B0EC-A87C70B0C51B}"/>
    <hyperlink ref="E59" r:id="rId14" xr:uid="{3B3A9014-D348-4575-8924-E30315AA14EE}"/>
    <hyperlink ref="C78" r:id="rId15" xr:uid="{209B771F-A6C9-432E-84D4-768A7C9C852D}"/>
    <hyperlink ref="C69" r:id="rId16" xr:uid="{643EFA77-44F3-40D1-B753-280B098234C3}"/>
    <hyperlink ref="E69" r:id="rId17" xr:uid="{48A2D504-4DC4-4030-A2CF-75DAFE1FD544}"/>
    <hyperlink ref="C7" r:id="rId18" xr:uid="{B3470287-78B7-4784-BEC9-D7E1BA18758B}"/>
    <hyperlink ref="E7" r:id="rId19" xr:uid="{FDA53D46-87DB-4E35-9828-FB95D98CC223}"/>
    <hyperlink ref="C103" r:id="rId20" display="Lbrew@pealcenter.org;jwhite@pealcenter.org" xr:uid="{01AEE370-427B-4A68-BC58-0C8186DA778D}"/>
    <hyperlink ref="E103" r:id="rId21" xr:uid="{899D7D50-C1DC-472E-A998-A021378AA138}"/>
    <hyperlink ref="C80" r:id="rId22" xr:uid="{6AD391CD-1C27-4511-A1F5-D48A969FE65F}"/>
    <hyperlink ref="E80" r:id="rId23" xr:uid="{567604AE-17B5-4C6B-854B-7FEA620E81D8}"/>
    <hyperlink ref="C83" r:id="rId24" xr:uid="{F2C8323F-66C4-48CD-8D30-053CE5D82B8E}"/>
    <hyperlink ref="E83" r:id="rId25" xr:uid="{B68703EB-72B8-4CD5-BBD6-57DB2CFE1F36}"/>
    <hyperlink ref="C8" r:id="rId26" xr:uid="{7EA62C3A-5EF7-400D-9E42-C45C21356BF0}"/>
    <hyperlink ref="E8" r:id="rId27" xr:uid="{6E4DE129-16AD-4E61-88EB-7C8DCE2725F6}"/>
    <hyperlink ref="C9" r:id="rId28" xr:uid="{BD8D4A10-F65A-408B-B2B6-CF9ACF034DB2}"/>
    <hyperlink ref="E9" r:id="rId29" xr:uid="{3958A745-07A8-4871-AFD4-A18839105641}"/>
    <hyperlink ref="C81" r:id="rId30" xr:uid="{F2D0C755-3B6D-47B6-85A4-D4133C3F5BE1}"/>
    <hyperlink ref="C90" r:id="rId31" xr:uid="{C8E1A343-18A7-4853-80EF-6397A2B3312E}"/>
    <hyperlink ref="C61" r:id="rId32" xr:uid="{BC4A3D22-7C2C-4095-A98E-11F382D8ED61}"/>
    <hyperlink ref="C100" r:id="rId33" xr:uid="{11BCAC2D-1277-4762-BA38-AA9B22B36B4E}"/>
    <hyperlink ref="C101" r:id="rId34" xr:uid="{F77CB725-46FF-41F1-B86B-5C653754F1A1}"/>
    <hyperlink ref="C77" r:id="rId35" xr:uid="{53EC9B70-B4FD-49C8-887D-64085EF30AA6}"/>
    <hyperlink ref="C75" r:id="rId36" xr:uid="{5B3560B0-EE03-4526-8C80-F43782FB6573}"/>
    <hyperlink ref="C11" r:id="rId37" xr:uid="{1F0B87AF-263E-40BB-B663-3700B67F375E}"/>
    <hyperlink ref="C68" r:id="rId38" xr:uid="{93FDE3B9-B2E8-42D7-86C5-984A022A238A}"/>
    <hyperlink ref="C82" r:id="rId39" xr:uid="{1AC5DE39-25BB-43B0-B561-470CD507B6EA}"/>
    <hyperlink ref="C10" r:id="rId40" xr:uid="{36D69601-48F1-467F-AABC-D3EEB68219C9}"/>
    <hyperlink ref="C17" r:id="rId41" xr:uid="{E26AF50D-163E-4E9E-8900-81A2A9E1AA13}"/>
    <hyperlink ref="C18" r:id="rId42" xr:uid="{CE65183B-CF07-46DC-8AD8-B253127A6F05}"/>
    <hyperlink ref="C16" r:id="rId43" xr:uid="{7DF52338-CFDF-4DA7-BE82-E9AB7A885AA4}"/>
    <hyperlink ref="C79" r:id="rId44" xr:uid="{E90C5760-FA39-4312-88CB-516D5B2509EF}"/>
    <hyperlink ref="C12" r:id="rId45" xr:uid="{11D9B3DA-51DD-4829-9530-A1AD7BD332EF}"/>
    <hyperlink ref="C13" r:id="rId46" xr:uid="{9B5034B4-0CBA-4F74-942D-864A5B76F536}"/>
    <hyperlink ref="C84" r:id="rId47" xr:uid="{6FC3F2E9-5F98-4D30-AE03-76520C088BC3}"/>
    <hyperlink ref="C14" r:id="rId48" xr:uid="{DDACD584-61E5-45EF-B08C-E8071C67774D}"/>
    <hyperlink ref="C15" r:id="rId49" xr:uid="{A29A2AB9-833D-4AC4-B93E-E5BA53C43DB4}"/>
    <hyperlink ref="C19" r:id="rId50" xr:uid="{6C5DD49B-5304-4B19-B4ED-B3C23D07361A}"/>
    <hyperlink ref="C20" r:id="rId51" xr:uid="{058B8E04-6780-472F-904E-B5450DA26880}"/>
    <hyperlink ref="C21" r:id="rId52" xr:uid="{AA23ADFF-A0EB-4CAF-AD27-81F5CB4144C0}"/>
    <hyperlink ref="C22" r:id="rId53" xr:uid="{533CF783-5CA4-4545-B163-308AC637AC70}"/>
    <hyperlink ref="C23" r:id="rId54" xr:uid="{2E956FDC-0A65-48BB-B0EA-878AE670A8B1}"/>
    <hyperlink ref="C25" r:id="rId55" xr:uid="{9FB6CA00-1256-4042-B3BB-30F9B729DD9D}"/>
    <hyperlink ref="C71" r:id="rId56" xr:uid="{1CE76A23-BF61-40CF-9CD9-F9971B71B90D}"/>
    <hyperlink ref="C26" r:id="rId57" xr:uid="{5A40806A-D35A-44F3-AED0-D8AB3A5A3B54}"/>
    <hyperlink ref="C74" r:id="rId58" xr:uid="{8C9AB482-F6F3-4001-8AA1-950FFB217533}"/>
    <hyperlink ref="C27" r:id="rId59" xr:uid="{99A290E9-6DD1-4A4A-8940-1E93F3C77CF2}"/>
    <hyperlink ref="C28" r:id="rId60" xr:uid="{0D805DBE-3DEF-4DF4-9A44-C94DCBCB26CA}"/>
    <hyperlink ref="C29" r:id="rId61" xr:uid="{338CBC0B-F31F-4D77-8119-D33185FE2442}"/>
    <hyperlink ref="C106" r:id="rId62" xr:uid="{BADEDF46-8579-441C-9C95-C9239C9F5D5E}"/>
    <hyperlink ref="C30" r:id="rId63" xr:uid="{122A12C3-A951-4323-9458-34B8AC1FE925}"/>
    <hyperlink ref="C31" r:id="rId64" xr:uid="{E704E592-83C3-41FB-AB09-0688B2EDEF10}"/>
    <hyperlink ref="C70" r:id="rId65" display="info@purdylawoffice.com" xr:uid="{65C9811F-46BE-435D-B64B-D0D9D57864DC}"/>
    <hyperlink ref="C32" r:id="rId66" xr:uid="{CA1C2E08-6E5F-4D3A-8153-1BEB5036D915}"/>
    <hyperlink ref="C33" r:id="rId67" xr:uid="{D3DB769F-2AEF-4E79-9AB0-1685369C9461}"/>
    <hyperlink ref="C34" r:id="rId68" xr:uid="{8637429E-4C2E-447A-803F-821B11C5EB90}"/>
    <hyperlink ref="E105" r:id="rId69" xr:uid="{C3502E1E-7921-45A4-85C7-D92D851B6777}"/>
    <hyperlink ref="C105" r:id="rId70" xr:uid="{C49A1F32-A1F9-4EFF-B294-7C83D1DC1644}"/>
    <hyperlink ref="C76" r:id="rId71" xr:uid="{88D1F393-D7B4-4816-9994-EE5F755223D8}"/>
    <hyperlink ref="C72" r:id="rId72" xr:uid="{FB360F00-C8F6-499E-9694-A5234BDCADEB}"/>
    <hyperlink ref="C35" r:id="rId73" xr:uid="{3CCBFD34-4ADE-453A-A18D-C29BCABB2CC6}"/>
    <hyperlink ref="C24" r:id="rId74" xr:uid="{C32AA165-E2CA-4B9E-BA41-F930E29553E6}"/>
    <hyperlink ref="C96" r:id="rId75" xr:uid="{7A57CCFB-141B-42C3-9548-C3F6C26FF1BF}"/>
    <hyperlink ref="C60" r:id="rId76" xr:uid="{A422A536-C995-49F1-80BD-5665C8ACFC01}"/>
    <hyperlink ref="C36" r:id="rId77" xr:uid="{49FA5DC4-7E14-4E6D-9702-4702534C9D54}"/>
    <hyperlink ref="C37" r:id="rId78" xr:uid="{0844D694-D3DD-483D-9CB7-7A7863BDD772}"/>
    <hyperlink ref="C97" r:id="rId79" xr:uid="{1130D260-DFD8-411A-88DB-0CCEE17551A6}"/>
    <hyperlink ref="C40" r:id="rId80" xr:uid="{2C650EFB-5F63-475F-A7D2-CF0EEAE1227F}"/>
    <hyperlink ref="C41" r:id="rId81" xr:uid="{121A7AE5-8D15-46F5-B088-91E46A808200}"/>
    <hyperlink ref="C43" r:id="rId82" xr:uid="{3CB38144-A3FC-4DF0-A6EB-1E6068DD3CA1}"/>
    <hyperlink ref="C86" r:id="rId83" xr:uid="{0345E40F-376F-43EA-9EDD-D4837C9F7D11}"/>
    <hyperlink ref="C85" r:id="rId84" xr:uid="{2AB415ED-508C-44E3-A694-AE06F92906B7}"/>
    <hyperlink ref="C47" r:id="rId85" xr:uid="{C24D63CB-0EFE-4B3E-8E6E-312C1821B4D4}"/>
    <hyperlink ref="C93" r:id="rId86" xr:uid="{9DE3052B-A756-48FA-A273-B64D18A74A5C}"/>
    <hyperlink ref="C62" r:id="rId87" xr:uid="{BF9876B1-3EBC-4335-B30C-AC05ADA37C8A}"/>
    <hyperlink ref="C94" r:id="rId88" xr:uid="{024F977B-EB45-487A-A57F-48D607682B80}"/>
    <hyperlink ref="C48" r:id="rId89" xr:uid="{4C9F3A60-6FC8-40C7-A52F-C41BED263B19}"/>
    <hyperlink ref="C49" r:id="rId90" display="mailto:MaryLynn.Hawk@albrightcare.org" xr:uid="{3B99A124-77B8-4A3C-BF1E-D7500F13130F}"/>
    <hyperlink ref="C55" r:id="rId91" xr:uid="{65B26197-F5D7-4EE0-987E-6B27A7F1B122}"/>
    <hyperlink ref="C102" r:id="rId92" xr:uid="{FFC4E6B9-9C38-4386-9B78-CCBD434C908E}"/>
    <hyperlink ref="C63" r:id="rId93" xr:uid="{28D6EA0A-220A-4FE9-9DB2-E95319D43165}"/>
    <hyperlink ref="C107" r:id="rId94" xr:uid="{B0C24426-1C8C-497D-9D76-B447C154ED68}"/>
    <hyperlink ref="C108" r:id="rId95" display="mailto:KPeters@wssd.k12.pa.us" xr:uid="{BBB943B2-61CF-4E07-B5CB-69D910EE6C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67AA-0E26-4DC4-876F-8D0FCE0E4F2C}">
  <dimension ref="A1:G119"/>
  <sheetViews>
    <sheetView topLeftCell="B90" workbookViewId="0">
      <selection activeCell="C119" sqref="C119"/>
    </sheetView>
  </sheetViews>
  <sheetFormatPr defaultRowHeight="15" x14ac:dyDescent="0.2"/>
  <cols>
    <col min="1" max="1" width="45.46875" style="12" bestFit="1" customWidth="1"/>
    <col min="2" max="3" width="128.73828125" bestFit="1" customWidth="1"/>
    <col min="4" max="4" width="17.21875" customWidth="1"/>
    <col min="5" max="5" width="34.97265625" bestFit="1" customWidth="1"/>
    <col min="6" max="6" width="46.9453125" bestFit="1" customWidth="1"/>
    <col min="7" max="7" width="38.47265625" customWidth="1"/>
  </cols>
  <sheetData>
    <row r="1" spans="1:7" ht="19.5" thickBot="1" x14ac:dyDescent="0.3">
      <c r="A1" s="150" t="s">
        <v>74</v>
      </c>
      <c r="B1" s="150"/>
      <c r="C1" s="150"/>
      <c r="D1" s="150"/>
      <c r="E1" s="150"/>
      <c r="G1" s="9" t="s">
        <v>75</v>
      </c>
    </row>
    <row r="2" spans="1:7" x14ac:dyDescent="0.2">
      <c r="A2" s="10" t="s">
        <v>76</v>
      </c>
      <c r="B2" s="11" t="s">
        <v>78</v>
      </c>
      <c r="C2" s="11" t="s">
        <v>77</v>
      </c>
      <c r="D2" s="11" t="s">
        <v>79</v>
      </c>
      <c r="E2" s="11" t="s">
        <v>80</v>
      </c>
      <c r="F2" s="11" t="s">
        <v>81</v>
      </c>
    </row>
    <row r="3" spans="1:7" x14ac:dyDescent="0.2">
      <c r="A3" s="12" t="s">
        <v>82</v>
      </c>
      <c r="B3" s="40" t="s">
        <v>84</v>
      </c>
      <c r="C3" t="s">
        <v>83</v>
      </c>
      <c r="D3" t="s">
        <v>85</v>
      </c>
      <c r="F3" t="s">
        <v>86</v>
      </c>
    </row>
    <row r="4" spans="1:7" x14ac:dyDescent="0.2">
      <c r="A4" s="12" t="s">
        <v>87</v>
      </c>
      <c r="B4" s="40" t="s">
        <v>89</v>
      </c>
      <c r="C4" t="s">
        <v>88</v>
      </c>
      <c r="D4" t="s">
        <v>90</v>
      </c>
      <c r="E4" s="4" t="s">
        <v>91</v>
      </c>
    </row>
    <row r="5" spans="1:7" x14ac:dyDescent="0.2">
      <c r="A5" s="12" t="s">
        <v>92</v>
      </c>
      <c r="B5" s="40" t="s">
        <v>94</v>
      </c>
      <c r="C5" t="s">
        <v>93</v>
      </c>
      <c r="D5" t="s">
        <v>95</v>
      </c>
      <c r="E5" s="4" t="s">
        <v>96</v>
      </c>
      <c r="F5" t="s">
        <v>97</v>
      </c>
    </row>
    <row r="6" spans="1:7" x14ac:dyDescent="0.2">
      <c r="A6" s="12" t="s">
        <v>104</v>
      </c>
      <c r="B6" s="40" t="s">
        <v>106</v>
      </c>
      <c r="C6" t="s">
        <v>105</v>
      </c>
      <c r="D6" t="s">
        <v>107</v>
      </c>
      <c r="E6" s="4" t="s">
        <v>108</v>
      </c>
      <c r="F6" t="s">
        <v>109</v>
      </c>
    </row>
    <row r="7" spans="1:7" x14ac:dyDescent="0.2">
      <c r="A7" s="12" t="s">
        <v>115</v>
      </c>
      <c r="B7" s="40" t="s">
        <v>117</v>
      </c>
      <c r="C7" t="s">
        <v>116</v>
      </c>
      <c r="D7" t="s">
        <v>118</v>
      </c>
      <c r="E7" s="4" t="s">
        <v>119</v>
      </c>
      <c r="F7" t="s">
        <v>120</v>
      </c>
    </row>
    <row r="8" spans="1:7" x14ac:dyDescent="0.2">
      <c r="A8" s="12" t="s">
        <v>121</v>
      </c>
      <c r="B8" s="40" t="s">
        <v>123</v>
      </c>
      <c r="C8" t="s">
        <v>122</v>
      </c>
      <c r="E8" s="4" t="s">
        <v>124</v>
      </c>
      <c r="F8" t="s">
        <v>125</v>
      </c>
    </row>
    <row r="9" spans="1:7" x14ac:dyDescent="0.2">
      <c r="A9" s="12" t="s">
        <v>136</v>
      </c>
      <c r="B9" s="40" t="s">
        <v>138</v>
      </c>
      <c r="C9" t="s">
        <v>137</v>
      </c>
      <c r="F9" t="s">
        <v>139</v>
      </c>
    </row>
    <row r="10" spans="1:7" x14ac:dyDescent="0.2">
      <c r="A10" s="12" t="s">
        <v>140</v>
      </c>
      <c r="B10" s="40" t="s">
        <v>142</v>
      </c>
      <c r="C10" t="s">
        <v>141</v>
      </c>
    </row>
    <row r="11" spans="1:7" x14ac:dyDescent="0.2">
      <c r="A11" s="12" t="s">
        <v>143</v>
      </c>
      <c r="B11" s="41" t="s">
        <v>145</v>
      </c>
      <c r="C11" t="s">
        <v>144</v>
      </c>
      <c r="D11" s="15" t="s">
        <v>146</v>
      </c>
      <c r="F11" t="s">
        <v>147</v>
      </c>
    </row>
    <row r="12" spans="1:7" x14ac:dyDescent="0.2">
      <c r="A12" s="16" t="s">
        <v>148</v>
      </c>
      <c r="B12" s="41" t="s">
        <v>150</v>
      </c>
      <c r="C12" s="16" t="s">
        <v>149</v>
      </c>
      <c r="F12" t="s">
        <v>151</v>
      </c>
    </row>
    <row r="13" spans="1:7" x14ac:dyDescent="0.2">
      <c r="A13" s="16" t="s">
        <v>152</v>
      </c>
      <c r="B13" s="42" t="s">
        <v>154</v>
      </c>
      <c r="C13" s="16" t="s">
        <v>153</v>
      </c>
    </row>
    <row r="14" spans="1:7" x14ac:dyDescent="0.2">
      <c r="A14" s="12" t="s">
        <v>155</v>
      </c>
      <c r="B14" s="41" t="s">
        <v>157</v>
      </c>
      <c r="C14" s="16" t="s">
        <v>156</v>
      </c>
    </row>
    <row r="15" spans="1:7" x14ac:dyDescent="0.2">
      <c r="A15" t="s">
        <v>158</v>
      </c>
      <c r="B15" s="40" t="s">
        <v>159</v>
      </c>
    </row>
    <row r="16" spans="1:7" x14ac:dyDescent="0.2">
      <c r="A16" s="12" t="s">
        <v>164</v>
      </c>
      <c r="B16" s="40" t="s">
        <v>166</v>
      </c>
      <c r="C16" s="16" t="s">
        <v>165</v>
      </c>
      <c r="D16" t="s">
        <v>167</v>
      </c>
    </row>
    <row r="17" spans="1:6" x14ac:dyDescent="0.2">
      <c r="A17" s="12" t="s">
        <v>168</v>
      </c>
      <c r="B17" s="40" t="s">
        <v>170</v>
      </c>
      <c r="C17" t="s">
        <v>169</v>
      </c>
    </row>
    <row r="18" spans="1:6" x14ac:dyDescent="0.2">
      <c r="A18" s="12" t="s">
        <v>176</v>
      </c>
      <c r="B18" s="40" t="s">
        <v>178</v>
      </c>
      <c r="C18" t="s">
        <v>177</v>
      </c>
      <c r="D18" t="s">
        <v>179</v>
      </c>
    </row>
    <row r="19" spans="1:6" x14ac:dyDescent="0.2">
      <c r="A19" s="12" t="s">
        <v>180</v>
      </c>
      <c r="B19" s="40" t="s">
        <v>181</v>
      </c>
    </row>
    <row r="20" spans="1:6" x14ac:dyDescent="0.2">
      <c r="A20" s="12" t="s">
        <v>182</v>
      </c>
      <c r="B20" s="40" t="s">
        <v>183</v>
      </c>
    </row>
    <row r="21" spans="1:6" x14ac:dyDescent="0.2">
      <c r="A21" s="12" t="s">
        <v>184</v>
      </c>
      <c r="B21" s="40" t="s">
        <v>185</v>
      </c>
    </row>
    <row r="22" spans="1:6" x14ac:dyDescent="0.2">
      <c r="A22" s="12" t="s">
        <v>186</v>
      </c>
      <c r="B22" s="40" t="s">
        <v>187</v>
      </c>
    </row>
    <row r="23" spans="1:6" x14ac:dyDescent="0.2">
      <c r="A23" s="12" t="s">
        <v>188</v>
      </c>
      <c r="B23" s="40" t="s">
        <v>189</v>
      </c>
    </row>
    <row r="24" spans="1:6" x14ac:dyDescent="0.2">
      <c r="A24" s="12" t="s">
        <v>190</v>
      </c>
      <c r="B24" s="40" t="s">
        <v>666</v>
      </c>
      <c r="C24" t="s">
        <v>667</v>
      </c>
    </row>
    <row r="25" spans="1:6" x14ac:dyDescent="0.2">
      <c r="A25" s="12" t="s">
        <v>192</v>
      </c>
      <c r="B25" s="40" t="s">
        <v>193</v>
      </c>
    </row>
    <row r="26" spans="1:6" x14ac:dyDescent="0.2">
      <c r="A26" s="12" t="s">
        <v>194</v>
      </c>
      <c r="B26" s="40" t="s">
        <v>195</v>
      </c>
    </row>
    <row r="27" spans="1:6" x14ac:dyDescent="0.2">
      <c r="A27" s="12" t="s">
        <v>196</v>
      </c>
      <c r="B27" s="40" t="s">
        <v>197</v>
      </c>
    </row>
    <row r="28" spans="1:6" x14ac:dyDescent="0.2">
      <c r="A28" s="12" t="s">
        <v>198</v>
      </c>
      <c r="B28" s="40" t="s">
        <v>199</v>
      </c>
      <c r="D28" t="s">
        <v>200</v>
      </c>
    </row>
    <row r="29" spans="1:6" x14ac:dyDescent="0.2">
      <c r="A29" s="12" t="s">
        <v>205</v>
      </c>
      <c r="B29" s="40" t="s">
        <v>207</v>
      </c>
      <c r="C29" t="s">
        <v>206</v>
      </c>
      <c r="D29" t="s">
        <v>208</v>
      </c>
    </row>
    <row r="30" spans="1:6" x14ac:dyDescent="0.2">
      <c r="A30" s="12" t="s">
        <v>209</v>
      </c>
      <c r="B30" s="40" t="s">
        <v>211</v>
      </c>
      <c r="C30" t="s">
        <v>210</v>
      </c>
      <c r="D30" t="s">
        <v>212</v>
      </c>
      <c r="F30" t="s">
        <v>213</v>
      </c>
    </row>
    <row r="31" spans="1:6" x14ac:dyDescent="0.2">
      <c r="A31" s="12" t="s">
        <v>214</v>
      </c>
      <c r="B31" s="40" t="s">
        <v>215</v>
      </c>
      <c r="D31" t="s">
        <v>216</v>
      </c>
    </row>
    <row r="32" spans="1:6" x14ac:dyDescent="0.2">
      <c r="A32" s="12" t="s">
        <v>217</v>
      </c>
      <c r="B32" s="40" t="s">
        <v>219</v>
      </c>
      <c r="C32" t="s">
        <v>218</v>
      </c>
      <c r="D32" t="s">
        <v>220</v>
      </c>
      <c r="F32" t="s">
        <v>221</v>
      </c>
    </row>
    <row r="33" spans="1:6" x14ac:dyDescent="0.2">
      <c r="A33" s="12" t="s">
        <v>222</v>
      </c>
      <c r="B33" s="40" t="s">
        <v>224</v>
      </c>
      <c r="C33" t="s">
        <v>223</v>
      </c>
      <c r="F33" t="s">
        <v>225</v>
      </c>
    </row>
    <row r="34" spans="1:6" x14ac:dyDescent="0.2">
      <c r="A34" s="12" t="s">
        <v>226</v>
      </c>
      <c r="B34" s="40" t="s">
        <v>227</v>
      </c>
    </row>
    <row r="35" spans="1:6" x14ac:dyDescent="0.2">
      <c r="A35" s="12" t="s">
        <v>231</v>
      </c>
      <c r="B35" s="43" t="s">
        <v>233</v>
      </c>
      <c r="C35" t="s">
        <v>232</v>
      </c>
    </row>
    <row r="36" spans="1:6" x14ac:dyDescent="0.2">
      <c r="A36" s="12" t="s">
        <v>234</v>
      </c>
      <c r="B36" s="40" t="s">
        <v>236</v>
      </c>
      <c r="C36" t="s">
        <v>235</v>
      </c>
      <c r="D36" s="19"/>
    </row>
    <row r="37" spans="1:6" x14ac:dyDescent="0.2">
      <c r="A37" s="12" t="s">
        <v>237</v>
      </c>
      <c r="B37" s="40" t="s">
        <v>238</v>
      </c>
      <c r="D37" s="19"/>
    </row>
    <row r="38" spans="1:6" x14ac:dyDescent="0.2">
      <c r="A38" s="12" t="s">
        <v>239</v>
      </c>
      <c r="B38" s="40" t="s">
        <v>240</v>
      </c>
      <c r="D38" s="19"/>
    </row>
    <row r="39" spans="1:6" x14ac:dyDescent="0.2">
      <c r="A39" s="12" t="s">
        <v>242</v>
      </c>
      <c r="B39" s="40" t="s">
        <v>243</v>
      </c>
    </row>
    <row r="40" spans="1:6" x14ac:dyDescent="0.2">
      <c r="A40" s="12" t="s">
        <v>244</v>
      </c>
      <c r="B40" s="40" t="s">
        <v>246</v>
      </c>
      <c r="C40" t="s">
        <v>245</v>
      </c>
    </row>
    <row r="41" spans="1:6" x14ac:dyDescent="0.2">
      <c r="A41" s="12" t="s">
        <v>249</v>
      </c>
      <c r="B41" s="40" t="s">
        <v>251</v>
      </c>
      <c r="C41" t="s">
        <v>250</v>
      </c>
    </row>
    <row r="42" spans="1:6" x14ac:dyDescent="0.2">
      <c r="A42" s="12" t="s">
        <v>252</v>
      </c>
      <c r="B42" s="40" t="s">
        <v>254</v>
      </c>
      <c r="C42" t="s">
        <v>253</v>
      </c>
    </row>
    <row r="43" spans="1:6" x14ac:dyDescent="0.2">
      <c r="A43" s="12" t="s">
        <v>255</v>
      </c>
      <c r="B43" t="s">
        <v>257</v>
      </c>
      <c r="C43" t="s">
        <v>256</v>
      </c>
    </row>
    <row r="44" spans="1:6" x14ac:dyDescent="0.2">
      <c r="A44" s="12" t="s">
        <v>264</v>
      </c>
      <c r="B44" t="s">
        <v>266</v>
      </c>
      <c r="C44" t="s">
        <v>265</v>
      </c>
    </row>
    <row r="45" spans="1:6" x14ac:dyDescent="0.2">
      <c r="A45" t="s">
        <v>270</v>
      </c>
      <c r="B45" s="40" t="s">
        <v>272</v>
      </c>
      <c r="C45" t="s">
        <v>271</v>
      </c>
    </row>
    <row r="46" spans="1:6" x14ac:dyDescent="0.2">
      <c r="A46" s="12" t="s">
        <v>273</v>
      </c>
      <c r="B46" s="40" t="s">
        <v>275</v>
      </c>
      <c r="C46" t="s">
        <v>274</v>
      </c>
      <c r="D46" t="s">
        <v>276</v>
      </c>
      <c r="F46" t="s">
        <v>277</v>
      </c>
    </row>
    <row r="47" spans="1:6" x14ac:dyDescent="0.2">
      <c r="A47" s="12" t="s">
        <v>289</v>
      </c>
      <c r="B47" s="40" t="s">
        <v>291</v>
      </c>
      <c r="C47" t="s">
        <v>290</v>
      </c>
      <c r="D47" s="21" t="s">
        <v>292</v>
      </c>
    </row>
    <row r="48" spans="1:6" x14ac:dyDescent="0.2">
      <c r="A48" s="12" t="s">
        <v>293</v>
      </c>
      <c r="B48" s="40" t="s">
        <v>295</v>
      </c>
      <c r="C48" t="s">
        <v>294</v>
      </c>
    </row>
    <row r="49" spans="1:7" x14ac:dyDescent="0.2">
      <c r="A49" s="12" t="s">
        <v>148</v>
      </c>
      <c r="B49" s="44" t="s">
        <v>432</v>
      </c>
      <c r="C49" t="s">
        <v>433</v>
      </c>
    </row>
    <row r="50" spans="1:7" x14ac:dyDescent="0.2">
      <c r="A50" s="12" t="s">
        <v>440</v>
      </c>
      <c r="B50" t="s">
        <v>439</v>
      </c>
    </row>
    <row r="51" spans="1:7" x14ac:dyDescent="0.2">
      <c r="A51" s="12" t="s">
        <v>442</v>
      </c>
      <c r="B51" t="s">
        <v>441</v>
      </c>
    </row>
    <row r="52" spans="1:7" x14ac:dyDescent="0.2">
      <c r="A52" s="12" t="s">
        <v>770</v>
      </c>
      <c r="B52" s="4" t="s">
        <v>771</v>
      </c>
      <c r="D52" t="s">
        <v>772</v>
      </c>
    </row>
    <row r="53" spans="1:7" x14ac:dyDescent="0.2">
      <c r="A53" s="12" t="s">
        <v>446</v>
      </c>
      <c r="B53" t="s">
        <v>445</v>
      </c>
    </row>
    <row r="54" spans="1:7" x14ac:dyDescent="0.2">
      <c r="A54" s="12" t="s">
        <v>448</v>
      </c>
      <c r="B54" s="45" t="s">
        <v>447</v>
      </c>
    </row>
    <row r="55" spans="1:7" s="20" customFormat="1" x14ac:dyDescent="0.2">
      <c r="A55" s="46" t="s">
        <v>490</v>
      </c>
      <c r="B55" s="13" t="s">
        <v>663</v>
      </c>
      <c r="C55" s="20" t="s">
        <v>662</v>
      </c>
    </row>
    <row r="56" spans="1:7" x14ac:dyDescent="0.2">
      <c r="A56" s="12" t="s">
        <v>297</v>
      </c>
      <c r="B56" s="40" t="s">
        <v>299</v>
      </c>
      <c r="C56" t="s">
        <v>298</v>
      </c>
      <c r="D56" t="s">
        <v>300</v>
      </c>
      <c r="E56" s="4" t="s">
        <v>301</v>
      </c>
      <c r="F56" t="s">
        <v>302</v>
      </c>
      <c r="G56" t="s">
        <v>303</v>
      </c>
    </row>
    <row r="57" spans="1:7" x14ac:dyDescent="0.2">
      <c r="A57" s="12" t="s">
        <v>129</v>
      </c>
      <c r="B57" s="40" t="s">
        <v>131</v>
      </c>
      <c r="C57" t="s">
        <v>130</v>
      </c>
    </row>
    <row r="58" spans="1:7" x14ac:dyDescent="0.2">
      <c r="A58" s="12" t="s">
        <v>278</v>
      </c>
      <c r="B58" s="40" t="s">
        <v>280</v>
      </c>
      <c r="C58" t="s">
        <v>279</v>
      </c>
      <c r="D58" t="s">
        <v>281</v>
      </c>
    </row>
    <row r="59" spans="1:7" x14ac:dyDescent="0.2">
      <c r="A59" s="12" t="s">
        <v>473</v>
      </c>
      <c r="B59" s="40" t="s">
        <v>476</v>
      </c>
      <c r="C59" t="s">
        <v>474</v>
      </c>
      <c r="D59" t="s">
        <v>475</v>
      </c>
      <c r="E59" s="4" t="s">
        <v>477</v>
      </c>
      <c r="F59" t="s">
        <v>478</v>
      </c>
    </row>
    <row r="60" spans="1:7" x14ac:dyDescent="0.2">
      <c r="A60" s="12" t="s">
        <v>308</v>
      </c>
      <c r="B60" s="40" t="s">
        <v>310</v>
      </c>
      <c r="C60" t="s">
        <v>309</v>
      </c>
      <c r="D60" t="s">
        <v>311</v>
      </c>
      <c r="E60" s="4" t="s">
        <v>312</v>
      </c>
      <c r="F60" t="s">
        <v>313</v>
      </c>
    </row>
    <row r="61" spans="1:7" x14ac:dyDescent="0.2">
      <c r="A61" s="12" t="s">
        <v>314</v>
      </c>
      <c r="B61" s="40" t="s">
        <v>310</v>
      </c>
      <c r="C61" t="s">
        <v>309</v>
      </c>
      <c r="D61" t="s">
        <v>311</v>
      </c>
      <c r="E61" s="4" t="s">
        <v>315</v>
      </c>
      <c r="F61" t="s">
        <v>316</v>
      </c>
    </row>
    <row r="62" spans="1:7" x14ac:dyDescent="0.2">
      <c r="A62" s="12" t="s">
        <v>317</v>
      </c>
      <c r="B62" s="40" t="s">
        <v>319</v>
      </c>
      <c r="C62" s="16" t="s">
        <v>318</v>
      </c>
    </row>
    <row r="63" spans="1:7" x14ac:dyDescent="0.2">
      <c r="A63" s="12" t="s">
        <v>320</v>
      </c>
      <c r="B63" s="40" t="s">
        <v>322</v>
      </c>
      <c r="C63" t="s">
        <v>321</v>
      </c>
      <c r="D63" t="s">
        <v>323</v>
      </c>
      <c r="E63" s="4" t="s">
        <v>324</v>
      </c>
      <c r="F63" t="s">
        <v>325</v>
      </c>
    </row>
    <row r="64" spans="1:7" x14ac:dyDescent="0.2">
      <c r="A64" s="12" t="s">
        <v>326</v>
      </c>
      <c r="B64" s="40" t="s">
        <v>634</v>
      </c>
      <c r="C64" t="s">
        <v>37</v>
      </c>
      <c r="D64" s="27" t="s">
        <v>328</v>
      </c>
      <c r="F64" t="s">
        <v>329</v>
      </c>
    </row>
    <row r="65" spans="1:6" x14ac:dyDescent="0.2">
      <c r="A65" s="12" t="s">
        <v>330</v>
      </c>
      <c r="B65" s="40" t="s">
        <v>332</v>
      </c>
      <c r="C65" t="s">
        <v>331</v>
      </c>
    </row>
    <row r="66" spans="1:6" x14ac:dyDescent="0.2">
      <c r="A66" s="12" t="s">
        <v>333</v>
      </c>
      <c r="B66" s="40" t="s">
        <v>335</v>
      </c>
      <c r="C66" t="s">
        <v>334</v>
      </c>
    </row>
    <row r="67" spans="1:6" x14ac:dyDescent="0.2">
      <c r="A67" s="12" t="s">
        <v>336</v>
      </c>
      <c r="B67" s="40" t="s">
        <v>338</v>
      </c>
      <c r="C67" t="s">
        <v>337</v>
      </c>
    </row>
    <row r="68" spans="1:6" x14ac:dyDescent="0.2">
      <c r="A68" s="12" t="s">
        <v>339</v>
      </c>
      <c r="B68" s="40" t="s">
        <v>341</v>
      </c>
      <c r="C68" t="s">
        <v>340</v>
      </c>
    </row>
    <row r="69" spans="1:6" x14ac:dyDescent="0.2">
      <c r="A69" s="12" t="s">
        <v>342</v>
      </c>
      <c r="B69" s="42" t="s">
        <v>344</v>
      </c>
      <c r="C69" s="16" t="s">
        <v>343</v>
      </c>
    </row>
    <row r="70" spans="1:6" x14ac:dyDescent="0.2">
      <c r="A70" s="12" t="s">
        <v>345</v>
      </c>
      <c r="B70" s="40" t="s">
        <v>347</v>
      </c>
      <c r="C70" t="s">
        <v>346</v>
      </c>
      <c r="F70" t="s">
        <v>348</v>
      </c>
    </row>
    <row r="71" spans="1:6" x14ac:dyDescent="0.2">
      <c r="A71" s="12" t="s">
        <v>349</v>
      </c>
      <c r="B71" s="40" t="s">
        <v>351</v>
      </c>
      <c r="C71" t="s">
        <v>350</v>
      </c>
    </row>
    <row r="72" spans="1:6" x14ac:dyDescent="0.2">
      <c r="A72" s="12" t="s">
        <v>352</v>
      </c>
      <c r="B72" s="40" t="s">
        <v>354</v>
      </c>
      <c r="C72" t="s">
        <v>353</v>
      </c>
      <c r="D72" t="s">
        <v>355</v>
      </c>
      <c r="F72" t="s">
        <v>356</v>
      </c>
    </row>
    <row r="73" spans="1:6" x14ac:dyDescent="0.2">
      <c r="A73" s="12" t="s">
        <v>357</v>
      </c>
      <c r="B73" s="40" t="s">
        <v>359</v>
      </c>
      <c r="C73" s="16" t="s">
        <v>358</v>
      </c>
    </row>
    <row r="74" spans="1:6" x14ac:dyDescent="0.2">
      <c r="A74" s="12" t="s">
        <v>360</v>
      </c>
      <c r="B74" s="40" t="s">
        <v>362</v>
      </c>
      <c r="C74" t="s">
        <v>361</v>
      </c>
      <c r="D74" s="29" t="s">
        <v>363</v>
      </c>
      <c r="E74" s="4" t="s">
        <v>364</v>
      </c>
      <c r="F74" t="s">
        <v>365</v>
      </c>
    </row>
    <row r="75" spans="1:6" x14ac:dyDescent="0.2">
      <c r="A75" s="12" t="s">
        <v>366</v>
      </c>
      <c r="B75" s="40" t="s">
        <v>368</v>
      </c>
      <c r="C75" t="s">
        <v>367</v>
      </c>
      <c r="D75" t="s">
        <v>369</v>
      </c>
      <c r="F75" t="s">
        <v>370</v>
      </c>
    </row>
    <row r="76" spans="1:6" x14ac:dyDescent="0.2">
      <c r="A76" s="12" t="s">
        <v>371</v>
      </c>
      <c r="B76" s="40" t="s">
        <v>373</v>
      </c>
      <c r="C76" t="s">
        <v>372</v>
      </c>
    </row>
    <row r="77" spans="1:6" x14ac:dyDescent="0.2">
      <c r="A77" s="12" t="s">
        <v>374</v>
      </c>
      <c r="B77" s="40" t="s">
        <v>376</v>
      </c>
      <c r="C77" t="s">
        <v>375</v>
      </c>
      <c r="E77" s="4" t="s">
        <v>377</v>
      </c>
      <c r="F77" t="s">
        <v>378</v>
      </c>
    </row>
    <row r="78" spans="1:6" x14ac:dyDescent="0.2">
      <c r="A78" s="16" t="s">
        <v>379</v>
      </c>
      <c r="B78" s="42" t="s">
        <v>381</v>
      </c>
      <c r="C78" s="16" t="s">
        <v>380</v>
      </c>
    </row>
    <row r="79" spans="1:6" x14ac:dyDescent="0.2">
      <c r="A79" s="12" t="s">
        <v>382</v>
      </c>
      <c r="B79" s="40" t="s">
        <v>384</v>
      </c>
      <c r="C79" t="s">
        <v>383</v>
      </c>
    </row>
    <row r="80" spans="1:6" ht="15.75" thickBot="1" x14ac:dyDescent="0.25">
      <c r="A80" s="12" t="s">
        <v>385</v>
      </c>
      <c r="B80" s="40" t="s">
        <v>37</v>
      </c>
      <c r="C80" t="s">
        <v>37</v>
      </c>
      <c r="D80" t="s">
        <v>434</v>
      </c>
    </row>
    <row r="81" spans="1:6" ht="15.75" thickBot="1" x14ac:dyDescent="0.25">
      <c r="A81" s="30" t="s">
        <v>388</v>
      </c>
      <c r="B81" s="30" t="s">
        <v>390</v>
      </c>
      <c r="C81" t="s">
        <v>389</v>
      </c>
    </row>
    <row r="82" spans="1:6" ht="15.75" thickBot="1" x14ac:dyDescent="0.25">
      <c r="A82" s="30" t="s">
        <v>391</v>
      </c>
      <c r="B82" s="30" t="s">
        <v>393</v>
      </c>
      <c r="C82" t="s">
        <v>392</v>
      </c>
    </row>
    <row r="83" spans="1:6" ht="15.75" thickBot="1" x14ac:dyDescent="0.25">
      <c r="A83" s="30" t="s">
        <v>394</v>
      </c>
      <c r="B83" s="30" t="s">
        <v>396</v>
      </c>
      <c r="C83" t="s">
        <v>395</v>
      </c>
    </row>
    <row r="84" spans="1:6" x14ac:dyDescent="0.2">
      <c r="A84" s="12" t="s">
        <v>126</v>
      </c>
      <c r="B84" s="40" t="s">
        <v>128</v>
      </c>
      <c r="C84" t="s">
        <v>127</v>
      </c>
    </row>
    <row r="85" spans="1:6" x14ac:dyDescent="0.2">
      <c r="A85" s="12" t="s">
        <v>258</v>
      </c>
      <c r="B85" s="40" t="s">
        <v>37</v>
      </c>
      <c r="C85" t="s">
        <v>37</v>
      </c>
    </row>
    <row r="86" spans="1:6" x14ac:dyDescent="0.2">
      <c r="A86" s="12" t="s">
        <v>267</v>
      </c>
      <c r="B86" t="s">
        <v>269</v>
      </c>
      <c r="C86" t="s">
        <v>268</v>
      </c>
    </row>
    <row r="87" spans="1:6" x14ac:dyDescent="0.2">
      <c r="A87" s="12" t="s">
        <v>261</v>
      </c>
      <c r="B87" s="40" t="s">
        <v>652</v>
      </c>
      <c r="C87" t="s">
        <v>651</v>
      </c>
    </row>
    <row r="88" spans="1:6" x14ac:dyDescent="0.2">
      <c r="A88" t="s">
        <v>282</v>
      </c>
      <c r="B88" s="40" t="s">
        <v>284</v>
      </c>
      <c r="C88" t="s">
        <v>283</v>
      </c>
      <c r="D88" t="s">
        <v>285</v>
      </c>
    </row>
    <row r="89" spans="1:6" x14ac:dyDescent="0.2">
      <c r="A89" s="12" t="s">
        <v>286</v>
      </c>
      <c r="B89" s="40" t="s">
        <v>288</v>
      </c>
      <c r="C89" t="s">
        <v>287</v>
      </c>
    </row>
    <row r="90" spans="1:6" x14ac:dyDescent="0.2">
      <c r="A90" s="12" t="s">
        <v>228</v>
      </c>
      <c r="B90" s="40" t="s">
        <v>647</v>
      </c>
      <c r="C90" t="s">
        <v>646</v>
      </c>
      <c r="F90" t="s">
        <v>230</v>
      </c>
    </row>
    <row r="91" spans="1:6" x14ac:dyDescent="0.2">
      <c r="A91" s="12" t="s">
        <v>426</v>
      </c>
      <c r="B91" s="40" t="s">
        <v>241</v>
      </c>
      <c r="C91" t="s">
        <v>427</v>
      </c>
    </row>
    <row r="92" spans="1:6" x14ac:dyDescent="0.2">
      <c r="A92" s="12" t="s">
        <v>428</v>
      </c>
      <c r="B92" s="4" t="s">
        <v>430</v>
      </c>
      <c r="C92" t="s">
        <v>429</v>
      </c>
    </row>
    <row r="93" spans="1:6" x14ac:dyDescent="0.2">
      <c r="A93" s="12" t="s">
        <v>247</v>
      </c>
      <c r="B93" s="40" t="s">
        <v>248</v>
      </c>
    </row>
    <row r="94" spans="1:6" x14ac:dyDescent="0.2">
      <c r="A94" s="12" t="s">
        <v>26</v>
      </c>
      <c r="B94" s="40" t="s">
        <v>133</v>
      </c>
      <c r="C94" t="s">
        <v>132</v>
      </c>
    </row>
    <row r="95" spans="1:6" x14ac:dyDescent="0.2">
      <c r="A95" s="12" t="s">
        <v>456</v>
      </c>
      <c r="B95" s="40" t="s">
        <v>458</v>
      </c>
      <c r="C95" t="s">
        <v>784</v>
      </c>
    </row>
    <row r="96" spans="1:6" x14ac:dyDescent="0.2">
      <c r="A96" s="12" t="s">
        <v>110</v>
      </c>
      <c r="B96" s="40" t="s">
        <v>790</v>
      </c>
      <c r="C96" t="s">
        <v>111</v>
      </c>
      <c r="E96" s="4" t="s">
        <v>113</v>
      </c>
      <c r="F96" t="s">
        <v>114</v>
      </c>
    </row>
    <row r="97" spans="1:7" x14ac:dyDescent="0.2">
      <c r="A97" s="12" t="s">
        <v>450</v>
      </c>
      <c r="B97" t="s">
        <v>449</v>
      </c>
    </row>
    <row r="98" spans="1:7" x14ac:dyDescent="0.2">
      <c r="A98" s="12" t="s">
        <v>171</v>
      </c>
      <c r="B98" s="40" t="s">
        <v>173</v>
      </c>
      <c r="C98" t="s">
        <v>172</v>
      </c>
      <c r="D98" t="s">
        <v>174</v>
      </c>
      <c r="E98" s="4" t="s">
        <v>175</v>
      </c>
    </row>
    <row r="99" spans="1:7" x14ac:dyDescent="0.2">
      <c r="A99" s="12" t="s">
        <v>201</v>
      </c>
      <c r="B99" s="40" t="s">
        <v>202</v>
      </c>
      <c r="D99" t="s">
        <v>203</v>
      </c>
      <c r="F99" t="s">
        <v>204</v>
      </c>
    </row>
    <row r="100" spans="1:7" x14ac:dyDescent="0.2">
      <c r="A100" s="12" t="s">
        <v>635</v>
      </c>
      <c r="B100" s="40" t="s">
        <v>633</v>
      </c>
      <c r="C100" t="s">
        <v>327</v>
      </c>
    </row>
    <row r="101" spans="1:7" x14ac:dyDescent="0.2">
      <c r="A101" s="12" t="s">
        <v>68</v>
      </c>
      <c r="B101" s="40" t="s">
        <v>640</v>
      </c>
      <c r="C101" t="s">
        <v>641</v>
      </c>
    </row>
    <row r="102" spans="1:7" x14ac:dyDescent="0.2">
      <c r="A102" s="12" t="s">
        <v>648</v>
      </c>
      <c r="B102" s="4" t="s">
        <v>650</v>
      </c>
      <c r="C102" t="s">
        <v>649</v>
      </c>
    </row>
    <row r="103" spans="1:7" x14ac:dyDescent="0.2">
      <c r="A103" s="12" t="s">
        <v>653</v>
      </c>
      <c r="B103" s="4" t="s">
        <v>655</v>
      </c>
      <c r="C103" t="s">
        <v>654</v>
      </c>
    </row>
    <row r="104" spans="1:7" x14ac:dyDescent="0.2">
      <c r="A104" s="12" t="s">
        <v>656</v>
      </c>
      <c r="B104" s="4" t="s">
        <v>658</v>
      </c>
      <c r="C104" t="s">
        <v>657</v>
      </c>
    </row>
    <row r="105" spans="1:7" x14ac:dyDescent="0.2">
      <c r="A105" s="12" t="s">
        <v>67</v>
      </c>
      <c r="B105" s="4" t="s">
        <v>768</v>
      </c>
      <c r="C105" t="s">
        <v>769</v>
      </c>
    </row>
    <row r="106" spans="1:7" x14ac:dyDescent="0.2">
      <c r="A106" s="12" t="s">
        <v>660</v>
      </c>
      <c r="B106" s="4" t="s">
        <v>659</v>
      </c>
    </row>
    <row r="107" spans="1:7" x14ac:dyDescent="0.2">
      <c r="A107" s="12" t="s">
        <v>664</v>
      </c>
      <c r="B107" s="4" t="s">
        <v>665</v>
      </c>
    </row>
    <row r="108" spans="1:7" x14ac:dyDescent="0.2">
      <c r="A108" s="12" t="s">
        <v>677</v>
      </c>
      <c r="B108" s="4" t="s">
        <v>676</v>
      </c>
      <c r="D108" t="s">
        <v>678</v>
      </c>
    </row>
    <row r="109" spans="1:7" x14ac:dyDescent="0.2">
      <c r="A109" s="12" t="s">
        <v>754</v>
      </c>
      <c r="B109" s="4" t="s">
        <v>756</v>
      </c>
      <c r="C109" t="s">
        <v>755</v>
      </c>
      <c r="D109" t="s">
        <v>757</v>
      </c>
      <c r="E109" s="4" t="s">
        <v>758</v>
      </c>
      <c r="F109" t="s">
        <v>760</v>
      </c>
      <c r="G109" t="s">
        <v>759</v>
      </c>
    </row>
    <row r="110" spans="1:7" x14ac:dyDescent="0.2">
      <c r="A110" t="s">
        <v>762</v>
      </c>
      <c r="B110" s="75" t="s">
        <v>761</v>
      </c>
      <c r="C110" t="s">
        <v>763</v>
      </c>
      <c r="D110" t="s">
        <v>764</v>
      </c>
    </row>
    <row r="111" spans="1:7" x14ac:dyDescent="0.2">
      <c r="A111" s="12" t="s">
        <v>767</v>
      </c>
      <c r="B111" s="4" t="s">
        <v>765</v>
      </c>
      <c r="D111" t="s">
        <v>766</v>
      </c>
    </row>
    <row r="112" spans="1:7" x14ac:dyDescent="0.2">
      <c r="A112" s="12" t="s">
        <v>773</v>
      </c>
      <c r="B112" s="4" t="s">
        <v>775</v>
      </c>
      <c r="C112" t="s">
        <v>774</v>
      </c>
      <c r="D112" t="s">
        <v>776</v>
      </c>
    </row>
    <row r="113" spans="1:7" x14ac:dyDescent="0.2">
      <c r="A113" s="12" t="s">
        <v>777</v>
      </c>
      <c r="B113" s="4" t="s">
        <v>779</v>
      </c>
      <c r="C113" t="s">
        <v>778</v>
      </c>
      <c r="D113" t="s">
        <v>780</v>
      </c>
    </row>
    <row r="114" spans="1:7" ht="15.75" thickBot="1" x14ac:dyDescent="0.25">
      <c r="A114" s="12" t="s">
        <v>782</v>
      </c>
      <c r="B114" s="4" t="s">
        <v>781</v>
      </c>
      <c r="C114" t="s">
        <v>783</v>
      </c>
      <c r="D114" t="s">
        <v>37</v>
      </c>
    </row>
    <row r="115" spans="1:7" ht="25.5" thickBot="1" x14ac:dyDescent="0.25">
      <c r="A115" s="12" t="s">
        <v>785</v>
      </c>
      <c r="B115" s="4" t="s">
        <v>787</v>
      </c>
      <c r="C115" t="s">
        <v>786</v>
      </c>
      <c r="D115" s="30" t="s">
        <v>788</v>
      </c>
      <c r="G115" s="30" t="s">
        <v>789</v>
      </c>
    </row>
    <row r="116" spans="1:7" x14ac:dyDescent="0.2">
      <c r="A116" s="12" t="s">
        <v>849</v>
      </c>
      <c r="B116" t="s">
        <v>848</v>
      </c>
    </row>
    <row r="119" spans="1:7" x14ac:dyDescent="0.2">
      <c r="C119" t="s">
        <v>851</v>
      </c>
      <c r="D119" t="s">
        <v>850</v>
      </c>
    </row>
  </sheetData>
  <mergeCells count="1">
    <mergeCell ref="A1:E1"/>
  </mergeCells>
  <hyperlinks>
    <hyperlink ref="B67" r:id="rId1" display="mailto:alyson@focusedapproach.com" xr:uid="{7CFB2A62-D66D-4691-899F-11B1739C5D6C}"/>
    <hyperlink ref="B60" r:id="rId2" xr:uid="{22C38004-CF14-4293-87F7-9C3BD9BEA6C4}"/>
    <hyperlink ref="E60" r:id="rId3" xr:uid="{E806F7B5-4310-4509-A26E-AF63242EB9A8}"/>
    <hyperlink ref="B61" r:id="rId4" xr:uid="{4E1C9F5B-BCA2-421C-8C50-F2346DB293B3}"/>
    <hyperlink ref="E61" r:id="rId5" xr:uid="{D47DF58F-DF47-4E08-A948-E783D414420B}"/>
    <hyperlink ref="B3" r:id="rId6" xr:uid="{2FCAB58A-4EAD-44CE-A06B-AA5D018CF30E}"/>
    <hyperlink ref="B4" r:id="rId7" xr:uid="{8169106E-C1A0-4CFE-B646-845C50BD4E7B}"/>
    <hyperlink ref="E4" r:id="rId8" xr:uid="{AAE52AB9-F976-4D76-B73C-83E12CC9D812}"/>
    <hyperlink ref="B5" r:id="rId9" xr:uid="{1AEBE2EE-C8BE-4653-837C-7D3A504F7E9D}"/>
    <hyperlink ref="E5" r:id="rId10" xr:uid="{F056F8F4-A5FC-4FC8-BE1A-65C3C91895FD}"/>
    <hyperlink ref="B56" r:id="rId11" xr:uid="{3471E9F2-7CA6-426A-970D-3EAC37B49DE4}"/>
    <hyperlink ref="E56" r:id="rId12" xr:uid="{29C9A789-5E8C-4D5D-B270-7D86E04B9B67}"/>
    <hyperlink ref="B72" r:id="rId13" xr:uid="{0C2B3995-B9D6-45FF-811C-3796BE272646}"/>
    <hyperlink ref="B63" r:id="rId14" xr:uid="{E53B3152-AD69-449B-B161-176F23B1EFAB}"/>
    <hyperlink ref="E63" r:id="rId15" xr:uid="{686D4477-9992-4773-90CF-170B2B62EF91}"/>
    <hyperlink ref="B6" r:id="rId16" xr:uid="{3BD1351A-26CD-406E-9243-64BD15303E97}"/>
    <hyperlink ref="E6" r:id="rId17" xr:uid="{2FF99073-982E-4663-BDB0-01D861B69724}"/>
    <hyperlink ref="B96" r:id="rId18" xr:uid="{0B14F6D0-6D22-46A0-A7F3-E3E4E864562C}"/>
    <hyperlink ref="E96" r:id="rId19" xr:uid="{7C85DFDE-A279-432E-B912-91E2E3B1D385}"/>
    <hyperlink ref="B74" r:id="rId20" xr:uid="{C9FB05F0-2B02-4D77-91D4-EC2FC1142451}"/>
    <hyperlink ref="E74" r:id="rId21" xr:uid="{6543EDFF-4928-4103-83C9-893D3C5793D3}"/>
    <hyperlink ref="B77" r:id="rId22" xr:uid="{207C7FDD-AEE6-4F13-B659-25384A43E986}"/>
    <hyperlink ref="E77" r:id="rId23" xr:uid="{8A05949F-BA70-4C6C-9608-4A2AF6126FA4}"/>
    <hyperlink ref="B7" r:id="rId24" xr:uid="{F012FD0E-E51F-4DA7-931D-3C8EF631BC62}"/>
    <hyperlink ref="E7" r:id="rId25" xr:uid="{BF4F3D80-2646-413C-B24C-6DBC2716BA61}"/>
    <hyperlink ref="B8" r:id="rId26" xr:uid="{D21A772F-36DF-41D6-B58A-4615D794DB00}"/>
    <hyperlink ref="E8" r:id="rId27" xr:uid="{51F8B919-53CE-49F6-8963-17D9DE63FA20}"/>
    <hyperlink ref="B75" r:id="rId28" xr:uid="{8BB36B85-F18E-45BD-8E1F-B0D476F10F14}"/>
    <hyperlink ref="B84" r:id="rId29" xr:uid="{7BFDD092-7C83-4DAB-A5DF-D124F8CD24D0}"/>
    <hyperlink ref="B57" r:id="rId30" xr:uid="{D4C7BFE0-3F43-4366-89DE-E8D52A472F4C}"/>
    <hyperlink ref="B94" r:id="rId31" xr:uid="{EFFDE47F-2B14-47CB-BD77-465960FD0E37}"/>
    <hyperlink ref="B71" r:id="rId32" xr:uid="{321ADE88-DBE2-469F-8FEE-9622E7A6E4A7}"/>
    <hyperlink ref="B69" r:id="rId33" xr:uid="{EDB701F4-C473-4DC7-A5C4-C16C4C87AF17}"/>
    <hyperlink ref="B10" r:id="rId34" xr:uid="{89B10406-2539-4E24-9ADF-2B08AF39741D}"/>
    <hyperlink ref="B62" r:id="rId35" xr:uid="{7B9830DF-57CC-4F50-AF75-1D85B9ADBDCB}"/>
    <hyperlink ref="B76" r:id="rId36" xr:uid="{5B0F88BC-B86B-4EF4-9E28-2E312FA6337B}"/>
    <hyperlink ref="B9" r:id="rId37" xr:uid="{ADBC0A63-7CA6-4E4C-99A0-1FD5BCAB37CB}"/>
    <hyperlink ref="B16" r:id="rId38" xr:uid="{10269B5C-0D13-4065-8A62-B3D7BD9A8305}"/>
    <hyperlink ref="B17" r:id="rId39" xr:uid="{EA7296A6-409D-4D54-8672-C657C3CB93B3}"/>
    <hyperlink ref="B15" r:id="rId40" xr:uid="{09061B4A-A810-4D11-B732-D06A799718D9}"/>
    <hyperlink ref="B73" r:id="rId41" xr:uid="{FB175E08-484B-4A09-A178-2AADA252D88D}"/>
    <hyperlink ref="B11" r:id="rId42" xr:uid="{DAB61DAD-694C-46BC-9A85-A274D26EF98E}"/>
    <hyperlink ref="B12" r:id="rId43" xr:uid="{BC036990-DE6D-4EE5-9EB5-F00E1831D33C}"/>
    <hyperlink ref="B78" r:id="rId44" xr:uid="{CD6A9EE1-EBAB-402D-B878-8B68A6A098A9}"/>
    <hyperlink ref="B13" r:id="rId45" xr:uid="{E6F3ADCF-C783-40A3-B6D0-2BDC6CFB9245}"/>
    <hyperlink ref="B14" r:id="rId46" xr:uid="{828096A3-FC10-4BDF-9A97-84C9698DE049}"/>
    <hyperlink ref="B18" r:id="rId47" xr:uid="{6E829E36-51CE-45B0-9313-C8FB08A7990F}"/>
    <hyperlink ref="B19" r:id="rId48" xr:uid="{D4E745BD-41D4-4CF6-B1FE-596615CF2269}"/>
    <hyperlink ref="B20" r:id="rId49" xr:uid="{4432FA30-DD71-4474-82BC-98DFDECC9815}"/>
    <hyperlink ref="B21" r:id="rId50" xr:uid="{F24FB69C-B380-41B4-B9EB-DA869C23B750}"/>
    <hyperlink ref="B22" r:id="rId51" xr:uid="{D39350DD-E4A7-431B-B610-0E6A399C2B0D}"/>
    <hyperlink ref="B24" r:id="rId52" xr:uid="{B9E72D69-3EF7-4AD5-8CE5-9B77506520C0}"/>
    <hyperlink ref="B65" r:id="rId53" xr:uid="{ACC5CDE5-BF35-49FD-A2D5-710DD76105AE}"/>
    <hyperlink ref="B25" r:id="rId54" xr:uid="{5191A41E-7513-47BD-BC67-DC5F78B2E3F9}"/>
    <hyperlink ref="B68" r:id="rId55" xr:uid="{820882CF-D5EC-4398-B505-55EE1309A7CF}"/>
    <hyperlink ref="B26" r:id="rId56" xr:uid="{3DEE6DA3-6F3D-469A-B119-4426B4EB4537}"/>
    <hyperlink ref="B27" r:id="rId57" xr:uid="{C2A42478-15BE-441E-BAC0-9D01077BF28B}"/>
    <hyperlink ref="B28" r:id="rId58" xr:uid="{21B88B97-715A-4E44-8C9B-B990B2511C39}"/>
    <hyperlink ref="B99" r:id="rId59" xr:uid="{097B56CA-8A7A-4036-B951-621BEC206ACE}"/>
    <hyperlink ref="B29" r:id="rId60" xr:uid="{210BF594-6BA1-43F5-98D0-810E15E2A863}"/>
    <hyperlink ref="B30" r:id="rId61" xr:uid="{FE08C8ED-0EDB-4D97-8B7C-69335E73F96F}"/>
    <hyperlink ref="B64" r:id="rId62" display="info@purdylawoffice.com" xr:uid="{30AD84A0-D661-4A39-B42E-E70DB27B5FAD}"/>
    <hyperlink ref="B31" r:id="rId63" xr:uid="{5E47ED29-5E62-4554-BFFD-C5AEC95F4FFE}"/>
    <hyperlink ref="B32" r:id="rId64" xr:uid="{3C67AE52-C1CD-4FBC-A69C-6CEF40DCF781}"/>
    <hyperlink ref="B33" r:id="rId65" xr:uid="{E559B13F-4B30-449C-B085-48C94A4D664F}"/>
    <hyperlink ref="E98" r:id="rId66" xr:uid="{F611C5FC-06B9-4D89-9556-3BA8758C74CF}"/>
    <hyperlink ref="B98" r:id="rId67" xr:uid="{956F4E78-2B81-441B-9FCB-29F6D1896997}"/>
    <hyperlink ref="B70" r:id="rId68" xr:uid="{E8181478-7826-45C2-B17F-8C0F2C39684C}"/>
    <hyperlink ref="B66" r:id="rId69" xr:uid="{535D3D22-8092-42C2-838D-27FC40485AB8}"/>
    <hyperlink ref="B34" r:id="rId70" xr:uid="{0A0B6AC9-48B0-4938-97D7-D0730693B00E}"/>
    <hyperlink ref="B23" r:id="rId71" xr:uid="{E2A799E5-5D15-4DBD-A346-EF5417A7F80B}"/>
    <hyperlink ref="B90" r:id="rId72" xr:uid="{95D162AE-6820-40E7-92E3-6BC87FBAD181}"/>
    <hyperlink ref="B35" r:id="rId73" xr:uid="{90F7B1A7-FE26-49BA-8405-9B2AA44C93CD}"/>
    <hyperlink ref="B36" r:id="rId74" xr:uid="{23B05D97-31B1-49F1-B7E3-B85EC4944ED5}"/>
    <hyperlink ref="B91" r:id="rId75" xr:uid="{AA7F5B8E-FD2B-4C60-B9E6-097F093B3B35}"/>
    <hyperlink ref="B39" r:id="rId76" xr:uid="{CBB03241-9C30-4B61-B7F0-49B360216669}"/>
    <hyperlink ref="B40" r:id="rId77" xr:uid="{86ABA630-6244-4B6F-AF62-614006F1EFF0}"/>
    <hyperlink ref="B42" r:id="rId78" xr:uid="{B967FCC5-B506-4F39-B25D-CBED3BBF81EE}"/>
    <hyperlink ref="B80" r:id="rId79" display="mstehman@myallamericancare.com" xr:uid="{0D38CDD5-CBBC-4E62-97BE-35343FBC5CE7}"/>
    <hyperlink ref="B79" r:id="rId80" xr:uid="{F25C15AC-6DE3-40DF-8603-80D9D637CBF7}"/>
    <hyperlink ref="B46" r:id="rId81" xr:uid="{C0815F51-94B9-475D-A29E-26E4CFC52811}"/>
    <hyperlink ref="B87" r:id="rId82" xr:uid="{506F5E9B-5F27-4BBD-AF54-2C6EDF63BB2A}"/>
    <hyperlink ref="B58" r:id="rId83" xr:uid="{FCB2CA4B-F3EE-4C39-A1D7-E8B5A6B06D69}"/>
    <hyperlink ref="B88" r:id="rId84" xr:uid="{B06695DA-9255-4FB1-84BC-ACDC270ED07D}"/>
    <hyperlink ref="B47" r:id="rId85" xr:uid="{073E2A78-DD0C-4B31-AF04-8561580E2E79}"/>
    <hyperlink ref="B48" r:id="rId86" display="mailto:MaryLynn.Hawk@albrightcare.org" xr:uid="{9DF90DDD-B2C3-4101-89D3-C433C55E23B0}"/>
    <hyperlink ref="B54" r:id="rId87" xr:uid="{76B89AA7-F627-471F-A5CB-8474E31E828B}"/>
    <hyperlink ref="B95" r:id="rId88" xr:uid="{26174127-112D-481E-BBDC-92BB41DE03D7}"/>
    <hyperlink ref="B59" r:id="rId89" xr:uid="{6FEFB8A8-2D43-43A2-A47A-BB47E11B41A4}"/>
    <hyperlink ref="B100" r:id="rId90" xr:uid="{158F75ED-B9D1-4872-8E2A-6003534C7E72}"/>
    <hyperlink ref="B101" r:id="rId91" display="mailto:KPeters@wssd.k12.pa.us" xr:uid="{6596C6F0-179D-4752-907F-99460185B18C}"/>
    <hyperlink ref="B102" r:id="rId92" xr:uid="{D0FEFC0D-5C29-48B6-9B5F-E28A9C68E9D1}"/>
    <hyperlink ref="B103" r:id="rId93" xr:uid="{49935D6E-8544-4DF2-816C-B4841693F966}"/>
    <hyperlink ref="B104" r:id="rId94" xr:uid="{208CBA56-BCF7-4B49-B9CE-10899532AE88}"/>
    <hyperlink ref="B105" r:id="rId95" xr:uid="{77D26F62-4EEB-4695-B810-E9BCB68371DB}"/>
    <hyperlink ref="B92" r:id="rId96" xr:uid="{CFA3AE20-8141-4553-A729-B6A381253CB3}"/>
    <hyperlink ref="B106" r:id="rId97" xr:uid="{EDBA0E73-3D1E-490A-BB86-8F514A6C2C9A}"/>
    <hyperlink ref="B55" r:id="rId98" xr:uid="{6CD5E674-8C04-4187-8EFB-DDCF0545F24C}"/>
    <hyperlink ref="B85" r:id="rId99" display="jkeen@maranatha-carlisle.org" xr:uid="{7C295F22-FECF-4C93-B4A5-D719783F9656}"/>
    <hyperlink ref="B107" r:id="rId100" xr:uid="{8A2FC3F3-70AA-4F03-A3D3-48E453078B94}"/>
    <hyperlink ref="B108" r:id="rId101" xr:uid="{2B9A76BC-DC01-4637-A50C-97E9CD666D36}"/>
    <hyperlink ref="B109" r:id="rId102" xr:uid="{48594288-0BBA-497F-B3A1-3FF730FED29C}"/>
    <hyperlink ref="E109" r:id="rId103" xr:uid="{EE7DC278-767A-415F-9331-36BD2C1675BC}"/>
    <hyperlink ref="B110" r:id="rId104" xr:uid="{583C54F8-732E-F049-AAFB-A2682BCD7DAE}"/>
    <hyperlink ref="B111" r:id="rId105" display="mailto:info@clearpathpediatric.com" xr:uid="{D8DC71D7-5C40-43A2-AE77-4E993411528D}"/>
    <hyperlink ref="B52" r:id="rId106" xr:uid="{713D4555-8CE6-44E9-B749-9F754648CD00}"/>
    <hyperlink ref="B112" r:id="rId107" xr:uid="{9D279D69-4BB6-4F50-96BB-5B41A1952409}"/>
    <hyperlink ref="B113" r:id="rId108" xr:uid="{CF04972F-64AD-498F-A504-F312167E8F51}"/>
    <hyperlink ref="B114" r:id="rId109" xr:uid="{91873260-3964-41A7-8A37-A2363696C2FF}"/>
    <hyperlink ref="B115" r:id="rId110" xr:uid="{13DD5B57-F471-4E08-B591-313199C5503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DC1C-FBBF-4397-BE95-CAF7F6122F60}">
  <dimension ref="A1:C1003"/>
  <sheetViews>
    <sheetView workbookViewId="0">
      <selection activeCell="F4" sqref="F4"/>
    </sheetView>
  </sheetViews>
  <sheetFormatPr defaultRowHeight="15" x14ac:dyDescent="0.2"/>
  <cols>
    <col min="2" max="2" width="64.5703125" customWidth="1"/>
  </cols>
  <sheetData>
    <row r="1" spans="1:3" ht="15.75" thickBot="1" x14ac:dyDescent="0.25">
      <c r="A1" s="89" t="s">
        <v>852</v>
      </c>
      <c r="B1" s="101" t="s">
        <v>853</v>
      </c>
      <c r="C1" s="3" t="s">
        <v>611</v>
      </c>
    </row>
    <row r="2" spans="1:3" ht="15.75" thickBot="1" x14ac:dyDescent="0.25">
      <c r="A2" s="90">
        <v>1</v>
      </c>
      <c r="B2" s="102" t="s">
        <v>886</v>
      </c>
      <c r="C2" s="6"/>
    </row>
    <row r="3" spans="1:3" ht="15.75" thickBot="1" x14ac:dyDescent="0.25">
      <c r="A3" s="90">
        <v>2</v>
      </c>
      <c r="B3" s="102" t="s">
        <v>885</v>
      </c>
      <c r="C3" s="6"/>
    </row>
    <row r="4" spans="1:3" ht="15.75" thickBot="1" x14ac:dyDescent="0.25">
      <c r="A4" s="93">
        <v>3</v>
      </c>
      <c r="B4" s="103" t="s">
        <v>25</v>
      </c>
      <c r="C4" s="6"/>
    </row>
    <row r="5" spans="1:3" ht="15.75" thickBot="1" x14ac:dyDescent="0.25">
      <c r="A5" s="93">
        <v>4</v>
      </c>
      <c r="B5" s="103" t="s">
        <v>25</v>
      </c>
      <c r="C5" s="131"/>
    </row>
    <row r="6" spans="1:3" ht="15.75" thickBot="1" x14ac:dyDescent="0.25">
      <c r="A6" s="93">
        <v>5</v>
      </c>
      <c r="B6" s="103" t="s">
        <v>864</v>
      </c>
      <c r="C6" s="6"/>
    </row>
    <row r="7" spans="1:3" ht="15.75" thickBot="1" x14ac:dyDescent="0.25">
      <c r="A7" s="91">
        <v>6</v>
      </c>
      <c r="B7" s="104" t="s">
        <v>867</v>
      </c>
      <c r="C7" s="6"/>
    </row>
    <row r="8" spans="1:3" ht="15.75" thickBot="1" x14ac:dyDescent="0.25">
      <c r="A8" s="90">
        <v>7</v>
      </c>
      <c r="B8" s="102" t="s">
        <v>504</v>
      </c>
      <c r="C8" s="6"/>
    </row>
    <row r="9" spans="1:3" ht="15.75" thickBot="1" x14ac:dyDescent="0.25">
      <c r="A9" s="93">
        <v>8</v>
      </c>
      <c r="B9" s="103" t="s">
        <v>902</v>
      </c>
      <c r="C9" s="6"/>
    </row>
    <row r="10" spans="1:3" ht="15.75" thickBot="1" x14ac:dyDescent="0.25">
      <c r="A10" s="90">
        <v>9</v>
      </c>
      <c r="B10" s="102" t="s">
        <v>330</v>
      </c>
      <c r="C10" s="6"/>
    </row>
    <row r="11" spans="1:3" ht="15.75" thickBot="1" x14ac:dyDescent="0.25">
      <c r="A11" s="90">
        <v>10</v>
      </c>
      <c r="B11" s="102" t="s">
        <v>873</v>
      </c>
      <c r="C11" s="6"/>
    </row>
    <row r="12" spans="1:3" ht="15.75" thickBot="1" x14ac:dyDescent="0.25">
      <c r="A12" s="91">
        <v>11</v>
      </c>
      <c r="B12" s="104" t="s">
        <v>901</v>
      </c>
      <c r="C12" s="6"/>
    </row>
    <row r="13" spans="1:3" ht="15.75" thickBot="1" x14ac:dyDescent="0.25">
      <c r="A13" s="91">
        <v>12</v>
      </c>
      <c r="B13" s="104" t="s">
        <v>899</v>
      </c>
      <c r="C13" s="6"/>
    </row>
    <row r="14" spans="1:3" ht="15.75" thickBot="1" x14ac:dyDescent="0.25">
      <c r="A14" s="91">
        <v>13</v>
      </c>
      <c r="B14" s="104" t="s">
        <v>267</v>
      </c>
      <c r="C14" s="6"/>
    </row>
    <row r="15" spans="1:3" ht="15.75" thickBot="1" x14ac:dyDescent="0.25">
      <c r="A15" s="90">
        <v>14</v>
      </c>
      <c r="B15" s="102" t="s">
        <v>879</v>
      </c>
      <c r="C15" s="6"/>
    </row>
    <row r="16" spans="1:3" ht="15.75" thickBot="1" x14ac:dyDescent="0.25">
      <c r="A16" s="91">
        <v>15</v>
      </c>
      <c r="B16" s="104" t="s">
        <v>871</v>
      </c>
      <c r="C16" s="6"/>
    </row>
    <row r="17" spans="1:3" ht="15.75" thickBot="1" x14ac:dyDescent="0.25">
      <c r="A17" s="128">
        <v>16</v>
      </c>
      <c r="B17" s="129" t="s">
        <v>898</v>
      </c>
      <c r="C17" s="130"/>
    </row>
    <row r="18" spans="1:3" ht="15.75" thickBot="1" x14ac:dyDescent="0.25">
      <c r="A18" s="91">
        <v>17</v>
      </c>
      <c r="B18" s="104" t="s">
        <v>896</v>
      </c>
      <c r="C18" s="6"/>
    </row>
    <row r="19" spans="1:3" ht="15.75" thickBot="1" x14ac:dyDescent="0.25">
      <c r="A19" s="91">
        <v>18</v>
      </c>
      <c r="B19" s="104" t="s">
        <v>860</v>
      </c>
      <c r="C19" s="6"/>
    </row>
    <row r="20" spans="1:3" ht="25.5" thickBot="1" x14ac:dyDescent="0.25">
      <c r="A20" s="90">
        <v>61</v>
      </c>
      <c r="B20" s="102" t="s">
        <v>856</v>
      </c>
      <c r="C20" s="6"/>
    </row>
    <row r="21" spans="1:3" ht="15.75" thickBot="1" x14ac:dyDescent="0.25">
      <c r="A21" s="91">
        <v>19</v>
      </c>
      <c r="B21" s="104" t="s">
        <v>371</v>
      </c>
      <c r="C21" s="6"/>
    </row>
    <row r="22" spans="1:3" ht="15.75" thickBot="1" x14ac:dyDescent="0.25">
      <c r="A22" s="91">
        <v>20</v>
      </c>
      <c r="B22" s="104" t="s">
        <v>371</v>
      </c>
      <c r="C22" s="131"/>
    </row>
    <row r="23" spans="1:3" ht="15.75" thickBot="1" x14ac:dyDescent="0.25">
      <c r="A23" s="92">
        <v>21</v>
      </c>
      <c r="B23" s="105" t="s">
        <v>371</v>
      </c>
      <c r="C23" s="131"/>
    </row>
    <row r="24" spans="1:3" ht="15.75" thickBot="1" x14ac:dyDescent="0.25">
      <c r="A24" s="92">
        <v>22</v>
      </c>
      <c r="B24" s="105" t="s">
        <v>904</v>
      </c>
      <c r="C24" s="6"/>
    </row>
    <row r="25" spans="1:3" ht="15.75" thickBot="1" x14ac:dyDescent="0.25">
      <c r="A25" s="90">
        <v>23</v>
      </c>
      <c r="B25" s="102" t="s">
        <v>854</v>
      </c>
      <c r="C25" s="6"/>
    </row>
    <row r="26" spans="1:3" ht="15.75" thickBot="1" x14ac:dyDescent="0.25">
      <c r="A26" s="128">
        <v>24</v>
      </c>
      <c r="B26" s="129" t="s">
        <v>862</v>
      </c>
      <c r="C26" s="130"/>
    </row>
    <row r="27" spans="1:3" ht="15.75" thickBot="1" x14ac:dyDescent="0.25">
      <c r="A27" s="91">
        <v>25</v>
      </c>
      <c r="B27" s="104" t="s">
        <v>874</v>
      </c>
      <c r="C27" s="6"/>
    </row>
    <row r="28" spans="1:3" ht="25.5" thickBot="1" x14ac:dyDescent="0.25">
      <c r="A28" s="91">
        <v>26</v>
      </c>
      <c r="B28" s="104" t="s">
        <v>890</v>
      </c>
      <c r="C28" s="6"/>
    </row>
    <row r="29" spans="1:3" ht="15.75" thickBot="1" x14ac:dyDescent="0.25">
      <c r="A29" s="90">
        <v>27</v>
      </c>
      <c r="B29" s="102" t="s">
        <v>857</v>
      </c>
      <c r="C29" s="6"/>
    </row>
    <row r="30" spans="1:3" ht="15.75" thickBot="1" x14ac:dyDescent="0.25">
      <c r="A30" s="91">
        <v>28</v>
      </c>
      <c r="B30" s="104" t="s">
        <v>190</v>
      </c>
      <c r="C30" s="6"/>
    </row>
    <row r="31" spans="1:3" ht="15.75" thickBot="1" x14ac:dyDescent="0.25">
      <c r="A31" s="91">
        <v>29</v>
      </c>
      <c r="B31" s="104" t="s">
        <v>593</v>
      </c>
      <c r="C31" s="6"/>
    </row>
    <row r="32" spans="1:3" ht="15.75" thickBot="1" x14ac:dyDescent="0.25">
      <c r="A32" s="91">
        <v>30</v>
      </c>
      <c r="B32" s="104" t="s">
        <v>869</v>
      </c>
      <c r="C32" s="6"/>
    </row>
    <row r="33" spans="1:3" ht="15.75" thickBot="1" x14ac:dyDescent="0.25">
      <c r="A33" s="91">
        <v>31</v>
      </c>
      <c r="B33" s="104" t="s">
        <v>27</v>
      </c>
      <c r="C33" s="6"/>
    </row>
    <row r="34" spans="1:3" ht="15.75" thickBot="1" x14ac:dyDescent="0.25">
      <c r="A34" s="93">
        <v>32</v>
      </c>
      <c r="B34" s="103" t="s">
        <v>598</v>
      </c>
      <c r="C34" s="6"/>
    </row>
    <row r="35" spans="1:3" ht="15.75" thickBot="1" x14ac:dyDescent="0.25">
      <c r="A35" s="93">
        <v>33</v>
      </c>
      <c r="B35" s="103" t="s">
        <v>858</v>
      </c>
      <c r="C35" s="6"/>
    </row>
    <row r="36" spans="1:3" ht="15.75" thickBot="1" x14ac:dyDescent="0.25">
      <c r="A36" s="93">
        <v>34</v>
      </c>
      <c r="B36" s="103" t="s">
        <v>822</v>
      </c>
      <c r="C36" s="6"/>
    </row>
    <row r="37" spans="1:3" ht="15.75" thickBot="1" x14ac:dyDescent="0.25">
      <c r="A37" s="93">
        <v>35</v>
      </c>
      <c r="B37" s="103" t="s">
        <v>820</v>
      </c>
      <c r="C37" s="6"/>
    </row>
    <row r="38" spans="1:3" ht="15.75" thickBot="1" x14ac:dyDescent="0.25">
      <c r="A38" s="93">
        <v>36</v>
      </c>
      <c r="B38" s="103" t="s">
        <v>889</v>
      </c>
      <c r="C38" s="6"/>
    </row>
    <row r="39" spans="1:3" ht="15.75" thickBot="1" x14ac:dyDescent="0.25">
      <c r="A39" s="91">
        <v>37</v>
      </c>
      <c r="B39" s="104" t="s">
        <v>887</v>
      </c>
      <c r="C39" s="6"/>
    </row>
    <row r="40" spans="1:3" ht="15.75" thickBot="1" x14ac:dyDescent="0.25">
      <c r="A40" s="90">
        <v>38</v>
      </c>
      <c r="B40" s="102" t="s">
        <v>893</v>
      </c>
      <c r="C40" s="6"/>
    </row>
    <row r="41" spans="1:3" ht="15.75" thickBot="1" x14ac:dyDescent="0.25">
      <c r="A41" s="92">
        <v>39</v>
      </c>
      <c r="B41" s="105" t="s">
        <v>903</v>
      </c>
      <c r="C41" s="6"/>
    </row>
    <row r="42" spans="1:3" ht="15.75" thickBot="1" x14ac:dyDescent="0.25">
      <c r="A42" s="91">
        <v>40</v>
      </c>
      <c r="B42" s="104" t="s">
        <v>872</v>
      </c>
      <c r="C42" s="6"/>
    </row>
    <row r="43" spans="1:3" ht="15.75" thickBot="1" x14ac:dyDescent="0.25">
      <c r="A43" s="91">
        <v>41</v>
      </c>
      <c r="B43" s="104" t="s">
        <v>866</v>
      </c>
      <c r="C43" s="6"/>
    </row>
    <row r="44" spans="1:3" ht="15.75" thickBot="1" x14ac:dyDescent="0.25">
      <c r="A44" s="91">
        <v>42</v>
      </c>
      <c r="B44" s="104" t="s">
        <v>884</v>
      </c>
      <c r="C44" s="6"/>
    </row>
    <row r="45" spans="1:3" ht="15.75" thickBot="1" x14ac:dyDescent="0.25">
      <c r="A45" s="92">
        <v>43</v>
      </c>
      <c r="B45" s="105" t="s">
        <v>905</v>
      </c>
      <c r="C45" s="6"/>
    </row>
    <row r="46" spans="1:3" ht="15.75" thickBot="1" x14ac:dyDescent="0.25">
      <c r="A46" s="90">
        <v>44</v>
      </c>
      <c r="B46" s="102" t="s">
        <v>859</v>
      </c>
      <c r="C46" s="6"/>
    </row>
    <row r="47" spans="1:3" ht="15.75" thickBot="1" x14ac:dyDescent="0.25">
      <c r="A47" s="91">
        <v>45</v>
      </c>
      <c r="B47" s="104" t="s">
        <v>855</v>
      </c>
      <c r="C47" s="6"/>
    </row>
    <row r="48" spans="1:3" ht="15.75" thickBot="1" x14ac:dyDescent="0.25">
      <c r="A48" s="90">
        <v>46</v>
      </c>
      <c r="B48" s="102" t="s">
        <v>897</v>
      </c>
      <c r="C48" s="6"/>
    </row>
    <row r="49" spans="1:3" ht="15.75" thickBot="1" x14ac:dyDescent="0.25">
      <c r="A49" s="91">
        <v>47</v>
      </c>
      <c r="B49" s="104" t="s">
        <v>532</v>
      </c>
      <c r="C49" s="6"/>
    </row>
    <row r="50" spans="1:3" ht="15.75" thickBot="1" x14ac:dyDescent="0.25">
      <c r="A50" s="90">
        <v>48</v>
      </c>
      <c r="B50" s="102" t="s">
        <v>558</v>
      </c>
      <c r="C50" s="6"/>
    </row>
    <row r="51" spans="1:3" ht="15.75" thickBot="1" x14ac:dyDescent="0.25">
      <c r="A51" s="93">
        <v>49</v>
      </c>
      <c r="B51" s="103" t="s">
        <v>865</v>
      </c>
      <c r="C51" s="6"/>
    </row>
    <row r="52" spans="1:3" ht="15.75" thickBot="1" x14ac:dyDescent="0.25">
      <c r="A52" s="93">
        <v>50</v>
      </c>
      <c r="B52" s="103" t="s">
        <v>900</v>
      </c>
      <c r="C52" s="6"/>
    </row>
    <row r="53" spans="1:3" ht="15.75" thickBot="1" x14ac:dyDescent="0.25">
      <c r="A53" s="91">
        <v>51</v>
      </c>
      <c r="B53" s="104" t="s">
        <v>880</v>
      </c>
      <c r="C53" s="6"/>
    </row>
    <row r="54" spans="1:3" ht="15.75" thickBot="1" x14ac:dyDescent="0.25">
      <c r="A54" s="90">
        <v>52</v>
      </c>
      <c r="B54" s="102" t="s">
        <v>888</v>
      </c>
      <c r="C54" s="6"/>
    </row>
    <row r="55" spans="1:3" ht="15.75" thickBot="1" x14ac:dyDescent="0.25">
      <c r="A55" s="90">
        <v>53</v>
      </c>
      <c r="B55" s="102" t="s">
        <v>877</v>
      </c>
      <c r="C55" s="6"/>
    </row>
    <row r="56" spans="1:3" ht="15.75" thickBot="1" x14ac:dyDescent="0.25">
      <c r="A56" s="90">
        <v>54</v>
      </c>
      <c r="B56" s="102" t="s">
        <v>892</v>
      </c>
      <c r="C56" s="6"/>
    </row>
    <row r="57" spans="1:3" ht="15.75" thickBot="1" x14ac:dyDescent="0.25">
      <c r="A57" s="90">
        <v>55</v>
      </c>
      <c r="B57" s="102" t="s">
        <v>868</v>
      </c>
      <c r="C57" s="6"/>
    </row>
    <row r="58" spans="1:3" ht="15.75" thickBot="1" x14ac:dyDescent="0.25">
      <c r="A58" s="92">
        <v>56</v>
      </c>
      <c r="B58" s="105" t="s">
        <v>905</v>
      </c>
      <c r="C58" s="6"/>
    </row>
    <row r="59" spans="1:3" ht="15.75" thickBot="1" x14ac:dyDescent="0.25">
      <c r="A59" s="92">
        <v>57</v>
      </c>
      <c r="B59" s="105" t="s">
        <v>905</v>
      </c>
      <c r="C59" s="6"/>
    </row>
    <row r="60" spans="1:3" ht="15.75" thickBot="1" x14ac:dyDescent="0.25">
      <c r="A60" s="90">
        <v>58</v>
      </c>
      <c r="B60" s="102" t="s">
        <v>863</v>
      </c>
      <c r="C60" s="6"/>
    </row>
    <row r="61" spans="1:3" ht="15.75" thickBot="1" x14ac:dyDescent="0.25">
      <c r="A61" s="90">
        <v>59</v>
      </c>
      <c r="B61" s="102" t="s">
        <v>891</v>
      </c>
      <c r="C61" s="6"/>
    </row>
    <row r="62" spans="1:3" ht="15.75" thickBot="1" x14ac:dyDescent="0.25">
      <c r="A62" s="90">
        <v>60</v>
      </c>
      <c r="B62" s="102" t="s">
        <v>529</v>
      </c>
      <c r="C62" s="6"/>
    </row>
    <row r="63" spans="1:3" ht="15.75" thickBot="1" x14ac:dyDescent="0.25">
      <c r="A63" s="128">
        <v>61</v>
      </c>
      <c r="B63" s="129" t="s">
        <v>875</v>
      </c>
      <c r="C63" s="6"/>
    </row>
    <row r="64" spans="1:3" ht="15.75" thickBot="1" x14ac:dyDescent="0.25">
      <c r="A64" s="90">
        <v>62</v>
      </c>
      <c r="B64" s="102" t="s">
        <v>870</v>
      </c>
      <c r="C64" s="6"/>
    </row>
    <row r="65" spans="1:3" ht="15.75" thickBot="1" x14ac:dyDescent="0.25">
      <c r="A65" s="93">
        <v>63</v>
      </c>
      <c r="B65" s="103" t="s">
        <v>968</v>
      </c>
      <c r="C65" s="6"/>
    </row>
    <row r="66" spans="1:3" ht="15.75" thickBot="1" x14ac:dyDescent="0.25">
      <c r="A66" s="93">
        <v>64</v>
      </c>
      <c r="B66" s="103" t="s">
        <v>561</v>
      </c>
      <c r="C66" s="6"/>
    </row>
    <row r="67" spans="1:3" ht="15.75" thickBot="1" x14ac:dyDescent="0.25">
      <c r="A67" s="91">
        <v>65</v>
      </c>
      <c r="B67" s="104" t="s">
        <v>878</v>
      </c>
      <c r="C67" s="6"/>
    </row>
    <row r="68" spans="1:3" ht="15.75" thickBot="1" x14ac:dyDescent="0.25">
      <c r="A68" s="91">
        <v>66</v>
      </c>
      <c r="B68" s="104" t="s">
        <v>894</v>
      </c>
      <c r="C68" s="6"/>
    </row>
    <row r="69" spans="1:3" ht="15.75" thickBot="1" x14ac:dyDescent="0.25">
      <c r="A69" s="91">
        <v>67</v>
      </c>
      <c r="B69" s="104" t="s">
        <v>876</v>
      </c>
      <c r="C69" s="6"/>
    </row>
    <row r="70" spans="1:3" ht="15.75" thickBot="1" x14ac:dyDescent="0.25">
      <c r="A70" s="90">
        <v>68</v>
      </c>
      <c r="B70" s="102" t="s">
        <v>895</v>
      </c>
      <c r="C70" s="6"/>
    </row>
    <row r="71" spans="1:3" ht="15.75" thickBot="1" x14ac:dyDescent="0.25">
      <c r="A71" s="90">
        <v>69</v>
      </c>
      <c r="B71" s="102" t="s">
        <v>388</v>
      </c>
      <c r="C71" s="6"/>
    </row>
    <row r="72" spans="1:3" ht="15.75" thickBot="1" x14ac:dyDescent="0.25">
      <c r="A72" s="90">
        <v>70</v>
      </c>
      <c r="B72" s="102" t="s">
        <v>861</v>
      </c>
      <c r="C72" s="6"/>
    </row>
    <row r="73" spans="1:3" x14ac:dyDescent="0.2">
      <c r="A73" s="108" t="s">
        <v>882</v>
      </c>
      <c r="B73" s="109" t="s">
        <v>883</v>
      </c>
      <c r="C73" s="6"/>
    </row>
    <row r="74" spans="1:3" x14ac:dyDescent="0.2">
      <c r="A74" s="110"/>
      <c r="B74" s="111"/>
      <c r="C74" s="6"/>
    </row>
    <row r="75" spans="1:3" x14ac:dyDescent="0.2">
      <c r="A75" s="107"/>
      <c r="B75" s="107"/>
    </row>
    <row r="76" spans="1:3" x14ac:dyDescent="0.2">
      <c r="A76" s="107"/>
      <c r="B76" s="107"/>
    </row>
    <row r="77" spans="1:3" x14ac:dyDescent="0.2">
      <c r="A77" s="107"/>
      <c r="B77" s="107"/>
    </row>
    <row r="78" spans="1:3" x14ac:dyDescent="0.2">
      <c r="A78" s="107"/>
      <c r="B78" s="107"/>
    </row>
    <row r="79" spans="1:3" x14ac:dyDescent="0.2">
      <c r="A79" s="107"/>
      <c r="B79" s="107"/>
    </row>
    <row r="80" spans="1:3" x14ac:dyDescent="0.2">
      <c r="A80" s="107"/>
      <c r="B80" s="107"/>
    </row>
    <row r="81" spans="1:2" x14ac:dyDescent="0.2">
      <c r="A81" s="107"/>
      <c r="B81" s="107"/>
    </row>
    <row r="82" spans="1:2" x14ac:dyDescent="0.2">
      <c r="A82" s="107"/>
      <c r="B82" s="107"/>
    </row>
    <row r="83" spans="1:2" x14ac:dyDescent="0.2">
      <c r="A83" s="107"/>
      <c r="B83" s="107"/>
    </row>
    <row r="84" spans="1:2" x14ac:dyDescent="0.2">
      <c r="A84" s="107"/>
      <c r="B84" s="107"/>
    </row>
    <row r="85" spans="1:2" x14ac:dyDescent="0.2">
      <c r="A85" s="107"/>
      <c r="B85" s="107"/>
    </row>
    <row r="86" spans="1:2" x14ac:dyDescent="0.2">
      <c r="A86" s="107"/>
      <c r="B86" s="107"/>
    </row>
    <row r="87" spans="1:2" x14ac:dyDescent="0.2">
      <c r="A87" s="107"/>
      <c r="B87" s="107"/>
    </row>
    <row r="88" spans="1:2" x14ac:dyDescent="0.2">
      <c r="A88" s="107"/>
      <c r="B88" s="107"/>
    </row>
    <row r="89" spans="1:2" x14ac:dyDescent="0.2">
      <c r="A89" s="107"/>
      <c r="B89" s="107"/>
    </row>
    <row r="90" spans="1:2" x14ac:dyDescent="0.2">
      <c r="A90" s="107"/>
      <c r="B90" s="107"/>
    </row>
    <row r="91" spans="1:2" x14ac:dyDescent="0.2">
      <c r="A91" s="107"/>
      <c r="B91" s="107"/>
    </row>
    <row r="92" spans="1:2" x14ac:dyDescent="0.2">
      <c r="A92" s="107"/>
      <c r="B92" s="107"/>
    </row>
    <row r="93" spans="1:2" x14ac:dyDescent="0.2">
      <c r="A93" s="107"/>
      <c r="B93" s="107"/>
    </row>
    <row r="94" spans="1:2" x14ac:dyDescent="0.2">
      <c r="A94" s="107"/>
      <c r="B94" s="107"/>
    </row>
    <row r="95" spans="1:2" x14ac:dyDescent="0.2">
      <c r="A95" s="107"/>
      <c r="B95" s="107"/>
    </row>
    <row r="96" spans="1:2" x14ac:dyDescent="0.2">
      <c r="A96" s="107"/>
      <c r="B96" s="107"/>
    </row>
    <row r="97" spans="1:2" x14ac:dyDescent="0.2">
      <c r="A97" s="107"/>
      <c r="B97" s="107"/>
    </row>
    <row r="98" spans="1:2" x14ac:dyDescent="0.2">
      <c r="A98" s="107"/>
      <c r="B98" s="107"/>
    </row>
    <row r="99" spans="1:2" x14ac:dyDescent="0.2">
      <c r="A99" s="107"/>
      <c r="B99" s="107"/>
    </row>
    <row r="100" spans="1:2" x14ac:dyDescent="0.2">
      <c r="A100" s="107"/>
      <c r="B100" s="107"/>
    </row>
    <row r="101" spans="1:2" x14ac:dyDescent="0.2">
      <c r="A101" s="107"/>
      <c r="B101" s="107"/>
    </row>
    <row r="102" spans="1:2" x14ac:dyDescent="0.2">
      <c r="A102" s="107"/>
      <c r="B102" s="107"/>
    </row>
    <row r="103" spans="1:2" x14ac:dyDescent="0.2">
      <c r="A103" s="107"/>
      <c r="B103" s="107"/>
    </row>
    <row r="104" spans="1:2" x14ac:dyDescent="0.2">
      <c r="A104" s="107"/>
      <c r="B104" s="107"/>
    </row>
    <row r="105" spans="1:2" x14ac:dyDescent="0.2">
      <c r="A105" s="107"/>
      <c r="B105" s="107"/>
    </row>
    <row r="106" spans="1:2" x14ac:dyDescent="0.2">
      <c r="A106" s="107"/>
      <c r="B106" s="107"/>
    </row>
    <row r="107" spans="1:2" x14ac:dyDescent="0.2">
      <c r="A107" s="107"/>
      <c r="B107" s="107"/>
    </row>
    <row r="108" spans="1:2" x14ac:dyDescent="0.2">
      <c r="A108" s="107"/>
      <c r="B108" s="107"/>
    </row>
    <row r="109" spans="1:2" x14ac:dyDescent="0.2">
      <c r="A109" s="107"/>
      <c r="B109" s="107"/>
    </row>
    <row r="110" spans="1:2" x14ac:dyDescent="0.2">
      <c r="A110" s="107"/>
      <c r="B110" s="107"/>
    </row>
    <row r="111" spans="1:2" x14ac:dyDescent="0.2">
      <c r="A111" s="107"/>
      <c r="B111" s="107"/>
    </row>
    <row r="112" spans="1:2" x14ac:dyDescent="0.2">
      <c r="A112" s="107"/>
      <c r="B112" s="107"/>
    </row>
    <row r="113" spans="1:2" x14ac:dyDescent="0.2">
      <c r="A113" s="107"/>
      <c r="B113" s="107"/>
    </row>
    <row r="114" spans="1:2" x14ac:dyDescent="0.2">
      <c r="A114" s="107"/>
      <c r="B114" s="107"/>
    </row>
    <row r="115" spans="1:2" x14ac:dyDescent="0.2">
      <c r="A115" s="107"/>
      <c r="B115" s="107"/>
    </row>
    <row r="116" spans="1:2" x14ac:dyDescent="0.2">
      <c r="A116" s="107"/>
      <c r="B116" s="107"/>
    </row>
    <row r="117" spans="1:2" x14ac:dyDescent="0.2">
      <c r="A117" s="107"/>
      <c r="B117" s="107"/>
    </row>
    <row r="118" spans="1:2" x14ac:dyDescent="0.2">
      <c r="A118" s="107"/>
      <c r="B118" s="107"/>
    </row>
    <row r="119" spans="1:2" x14ac:dyDescent="0.2">
      <c r="A119" s="107"/>
      <c r="B119" s="107"/>
    </row>
    <row r="120" spans="1:2" x14ac:dyDescent="0.2">
      <c r="A120" s="107"/>
      <c r="B120" s="107"/>
    </row>
    <row r="121" spans="1:2" x14ac:dyDescent="0.2">
      <c r="A121" s="107"/>
      <c r="B121" s="107"/>
    </row>
    <row r="122" spans="1:2" x14ac:dyDescent="0.2">
      <c r="A122" s="107"/>
      <c r="B122" s="107"/>
    </row>
    <row r="123" spans="1:2" x14ac:dyDescent="0.2">
      <c r="A123" s="107"/>
      <c r="B123" s="107"/>
    </row>
    <row r="124" spans="1:2" x14ac:dyDescent="0.2">
      <c r="A124" s="107"/>
      <c r="B124" s="107"/>
    </row>
    <row r="125" spans="1:2" x14ac:dyDescent="0.2">
      <c r="A125" s="107"/>
      <c r="B125" s="107"/>
    </row>
    <row r="126" spans="1:2" x14ac:dyDescent="0.2">
      <c r="A126" s="107"/>
      <c r="B126" s="107"/>
    </row>
    <row r="127" spans="1:2" x14ac:dyDescent="0.2">
      <c r="A127" s="107"/>
      <c r="B127" s="107"/>
    </row>
    <row r="128" spans="1:2" x14ac:dyDescent="0.2">
      <c r="A128" s="107"/>
      <c r="B128" s="107"/>
    </row>
    <row r="129" spans="1:2" x14ac:dyDescent="0.2">
      <c r="A129" s="107"/>
      <c r="B129" s="107"/>
    </row>
    <row r="130" spans="1:2" x14ac:dyDescent="0.2">
      <c r="A130" s="107"/>
      <c r="B130" s="107"/>
    </row>
    <row r="131" spans="1:2" x14ac:dyDescent="0.2">
      <c r="A131" s="107"/>
      <c r="B131" s="107"/>
    </row>
    <row r="132" spans="1:2" ht="15.75" thickBot="1" x14ac:dyDescent="0.25">
      <c r="A132" s="106"/>
      <c r="B132" s="106"/>
    </row>
    <row r="133" spans="1:2" ht="15.75" thickBot="1" x14ac:dyDescent="0.25">
      <c r="A133" s="88"/>
      <c r="B133" s="88"/>
    </row>
    <row r="134" spans="1:2" ht="15.75" thickBot="1" x14ac:dyDescent="0.25">
      <c r="A134" s="88"/>
      <c r="B134" s="88"/>
    </row>
    <row r="135" spans="1:2" ht="15.75" thickBot="1" x14ac:dyDescent="0.25">
      <c r="A135" s="88"/>
      <c r="B135" s="88"/>
    </row>
    <row r="136" spans="1:2" ht="15.75" thickBot="1" x14ac:dyDescent="0.25">
      <c r="A136" s="88"/>
      <c r="B136" s="88"/>
    </row>
    <row r="137" spans="1:2" ht="15.75" thickBot="1" x14ac:dyDescent="0.25">
      <c r="A137" s="88"/>
      <c r="B137" s="88"/>
    </row>
    <row r="138" spans="1:2" ht="15.75" thickBot="1" x14ac:dyDescent="0.25">
      <c r="A138" s="88"/>
      <c r="B138" s="88"/>
    </row>
    <row r="139" spans="1:2" ht="15.75" thickBot="1" x14ac:dyDescent="0.25">
      <c r="A139" s="88"/>
      <c r="B139" s="88"/>
    </row>
    <row r="140" spans="1:2" ht="15.75" thickBot="1" x14ac:dyDescent="0.25">
      <c r="A140" s="88"/>
      <c r="B140" s="88"/>
    </row>
    <row r="141" spans="1:2" ht="15.75" thickBot="1" x14ac:dyDescent="0.25">
      <c r="A141" s="88"/>
      <c r="B141" s="88"/>
    </row>
    <row r="142" spans="1:2" ht="15.75" thickBot="1" x14ac:dyDescent="0.25">
      <c r="A142" s="88"/>
      <c r="B142" s="88"/>
    </row>
    <row r="143" spans="1:2" ht="15.75" thickBot="1" x14ac:dyDescent="0.25">
      <c r="A143" s="88"/>
      <c r="B143" s="88"/>
    </row>
    <row r="144" spans="1:2" ht="15.75" thickBot="1" x14ac:dyDescent="0.25">
      <c r="A144" s="88"/>
      <c r="B144" s="88"/>
    </row>
    <row r="145" spans="1:2" ht="15.75" thickBot="1" x14ac:dyDescent="0.25">
      <c r="A145" s="88"/>
      <c r="B145" s="88"/>
    </row>
    <row r="146" spans="1:2" ht="15.75" thickBot="1" x14ac:dyDescent="0.25">
      <c r="A146" s="88"/>
      <c r="B146" s="88"/>
    </row>
    <row r="147" spans="1:2" ht="15.75" thickBot="1" x14ac:dyDescent="0.25">
      <c r="A147" s="88"/>
      <c r="B147" s="88"/>
    </row>
    <row r="148" spans="1:2" ht="15.75" thickBot="1" x14ac:dyDescent="0.25">
      <c r="A148" s="88"/>
      <c r="B148" s="88"/>
    </row>
    <row r="149" spans="1:2" ht="15.75" thickBot="1" x14ac:dyDescent="0.25">
      <c r="A149" s="88"/>
      <c r="B149" s="88"/>
    </row>
    <row r="150" spans="1:2" ht="15.75" thickBot="1" x14ac:dyDescent="0.25">
      <c r="A150" s="88"/>
      <c r="B150" s="88"/>
    </row>
    <row r="151" spans="1:2" ht="15.75" thickBot="1" x14ac:dyDescent="0.25">
      <c r="A151" s="88"/>
      <c r="B151" s="88"/>
    </row>
    <row r="152" spans="1:2" ht="15.75" thickBot="1" x14ac:dyDescent="0.25">
      <c r="A152" s="88"/>
      <c r="B152" s="88"/>
    </row>
    <row r="153" spans="1:2" ht="15.75" thickBot="1" x14ac:dyDescent="0.25">
      <c r="A153" s="88"/>
      <c r="B153" s="88"/>
    </row>
    <row r="154" spans="1:2" ht="15.75" thickBot="1" x14ac:dyDescent="0.25">
      <c r="A154" s="88"/>
      <c r="B154" s="88"/>
    </row>
    <row r="155" spans="1:2" ht="15.75" thickBot="1" x14ac:dyDescent="0.25">
      <c r="A155" s="88"/>
      <c r="B155" s="88"/>
    </row>
    <row r="156" spans="1:2" ht="15.75" thickBot="1" x14ac:dyDescent="0.25">
      <c r="A156" s="88"/>
      <c r="B156" s="88"/>
    </row>
    <row r="157" spans="1:2" ht="15.75" thickBot="1" x14ac:dyDescent="0.25">
      <c r="A157" s="88"/>
      <c r="B157" s="88"/>
    </row>
    <row r="158" spans="1:2" ht="15.75" thickBot="1" x14ac:dyDescent="0.25">
      <c r="A158" s="88"/>
      <c r="B158" s="88"/>
    </row>
    <row r="159" spans="1:2" ht="15.75" thickBot="1" x14ac:dyDescent="0.25">
      <c r="A159" s="88"/>
      <c r="B159" s="88"/>
    </row>
    <row r="160" spans="1:2" ht="15.75" thickBot="1" x14ac:dyDescent="0.25">
      <c r="A160" s="88"/>
      <c r="B160" s="88"/>
    </row>
    <row r="161" spans="1:2" ht="15.75" thickBot="1" x14ac:dyDescent="0.25">
      <c r="A161" s="88"/>
      <c r="B161" s="88"/>
    </row>
    <row r="162" spans="1:2" ht="15.75" thickBot="1" x14ac:dyDescent="0.25">
      <c r="A162" s="88"/>
      <c r="B162" s="88"/>
    </row>
    <row r="163" spans="1:2" ht="15.75" thickBot="1" x14ac:dyDescent="0.25">
      <c r="A163" s="88"/>
      <c r="B163" s="88"/>
    </row>
    <row r="164" spans="1:2" ht="15.75" thickBot="1" x14ac:dyDescent="0.25">
      <c r="A164" s="88"/>
      <c r="B164" s="88"/>
    </row>
    <row r="165" spans="1:2" ht="15.75" thickBot="1" x14ac:dyDescent="0.25">
      <c r="A165" s="88"/>
      <c r="B165" s="88"/>
    </row>
    <row r="166" spans="1:2" ht="15.75" thickBot="1" x14ac:dyDescent="0.25">
      <c r="A166" s="88"/>
      <c r="B166" s="88"/>
    </row>
    <row r="167" spans="1:2" ht="15.75" thickBot="1" x14ac:dyDescent="0.25">
      <c r="A167" s="88"/>
      <c r="B167" s="88"/>
    </row>
    <row r="168" spans="1:2" ht="15.75" thickBot="1" x14ac:dyDescent="0.25">
      <c r="A168" s="88"/>
      <c r="B168" s="88"/>
    </row>
    <row r="169" spans="1:2" ht="15.75" thickBot="1" x14ac:dyDescent="0.25">
      <c r="A169" s="88"/>
      <c r="B169" s="88"/>
    </row>
    <row r="170" spans="1:2" ht="15.75" thickBot="1" x14ac:dyDescent="0.25">
      <c r="A170" s="88"/>
      <c r="B170" s="88"/>
    </row>
    <row r="171" spans="1:2" ht="15.75" thickBot="1" x14ac:dyDescent="0.25">
      <c r="A171" s="88"/>
      <c r="B171" s="88"/>
    </row>
    <row r="172" spans="1:2" ht="15.75" thickBot="1" x14ac:dyDescent="0.25">
      <c r="A172" s="88"/>
      <c r="B172" s="88"/>
    </row>
    <row r="173" spans="1:2" ht="15.75" thickBot="1" x14ac:dyDescent="0.25">
      <c r="A173" s="88"/>
      <c r="B173" s="88"/>
    </row>
    <row r="174" spans="1:2" ht="15.75" thickBot="1" x14ac:dyDescent="0.25">
      <c r="A174" s="88"/>
      <c r="B174" s="88"/>
    </row>
    <row r="175" spans="1:2" ht="15.75" thickBot="1" x14ac:dyDescent="0.25">
      <c r="A175" s="88"/>
      <c r="B175" s="88"/>
    </row>
    <row r="176" spans="1:2" ht="15.75" thickBot="1" x14ac:dyDescent="0.25">
      <c r="A176" s="88"/>
      <c r="B176" s="88"/>
    </row>
    <row r="177" spans="1:2" ht="15.75" thickBot="1" x14ac:dyDescent="0.25">
      <c r="A177" s="88"/>
      <c r="B177" s="88"/>
    </row>
    <row r="178" spans="1:2" ht="15.75" thickBot="1" x14ac:dyDescent="0.25">
      <c r="A178" s="88"/>
      <c r="B178" s="88"/>
    </row>
    <row r="179" spans="1:2" ht="15.75" thickBot="1" x14ac:dyDescent="0.25">
      <c r="A179" s="88"/>
      <c r="B179" s="88"/>
    </row>
    <row r="180" spans="1:2" ht="15.75" thickBot="1" x14ac:dyDescent="0.25">
      <c r="A180" s="88"/>
      <c r="B180" s="88"/>
    </row>
    <row r="181" spans="1:2" ht="15.75" thickBot="1" x14ac:dyDescent="0.25">
      <c r="A181" s="88"/>
      <c r="B181" s="88"/>
    </row>
    <row r="182" spans="1:2" ht="15.75" thickBot="1" x14ac:dyDescent="0.25">
      <c r="A182" s="88"/>
      <c r="B182" s="88"/>
    </row>
    <row r="183" spans="1:2" ht="15.75" thickBot="1" x14ac:dyDescent="0.25">
      <c r="A183" s="88"/>
      <c r="B183" s="88"/>
    </row>
    <row r="184" spans="1:2" ht="15.75" thickBot="1" x14ac:dyDescent="0.25">
      <c r="A184" s="88"/>
      <c r="B184" s="88"/>
    </row>
    <row r="185" spans="1:2" ht="15.75" thickBot="1" x14ac:dyDescent="0.25">
      <c r="A185" s="88"/>
      <c r="B185" s="88"/>
    </row>
    <row r="186" spans="1:2" ht="15.75" thickBot="1" x14ac:dyDescent="0.25">
      <c r="A186" s="88"/>
      <c r="B186" s="88"/>
    </row>
    <row r="187" spans="1:2" ht="15.75" thickBot="1" x14ac:dyDescent="0.25">
      <c r="A187" s="88"/>
      <c r="B187" s="88"/>
    </row>
    <row r="188" spans="1:2" ht="15.75" thickBot="1" x14ac:dyDescent="0.25">
      <c r="A188" s="88"/>
      <c r="B188" s="88"/>
    </row>
    <row r="189" spans="1:2" ht="15.75" thickBot="1" x14ac:dyDescent="0.25">
      <c r="A189" s="88"/>
      <c r="B189" s="88"/>
    </row>
    <row r="190" spans="1:2" ht="15.75" thickBot="1" x14ac:dyDescent="0.25">
      <c r="A190" s="88"/>
      <c r="B190" s="88"/>
    </row>
    <row r="191" spans="1:2" ht="15.75" thickBot="1" x14ac:dyDescent="0.25">
      <c r="A191" s="88"/>
      <c r="B191" s="88"/>
    </row>
    <row r="192" spans="1:2" ht="15.75" thickBot="1" x14ac:dyDescent="0.25">
      <c r="A192" s="88"/>
      <c r="B192" s="88"/>
    </row>
    <row r="193" spans="1:2" ht="15.75" thickBot="1" x14ac:dyDescent="0.25">
      <c r="A193" s="88"/>
      <c r="B193" s="88"/>
    </row>
    <row r="194" spans="1:2" ht="15.75" thickBot="1" x14ac:dyDescent="0.25">
      <c r="A194" s="88"/>
      <c r="B194" s="88"/>
    </row>
    <row r="195" spans="1:2" ht="15.75" thickBot="1" x14ac:dyDescent="0.25">
      <c r="A195" s="88"/>
      <c r="B195" s="88"/>
    </row>
    <row r="196" spans="1:2" ht="15.75" thickBot="1" x14ac:dyDescent="0.25">
      <c r="A196" s="88"/>
      <c r="B196" s="88"/>
    </row>
    <row r="197" spans="1:2" ht="15.75" thickBot="1" x14ac:dyDescent="0.25">
      <c r="A197" s="88"/>
      <c r="B197" s="88"/>
    </row>
    <row r="198" spans="1:2" ht="15.75" thickBot="1" x14ac:dyDescent="0.25">
      <c r="A198" s="88"/>
      <c r="B198" s="88"/>
    </row>
    <row r="199" spans="1:2" ht="15.75" thickBot="1" x14ac:dyDescent="0.25">
      <c r="A199" s="88"/>
      <c r="B199" s="88"/>
    </row>
    <row r="200" spans="1:2" ht="15.75" thickBot="1" x14ac:dyDescent="0.25">
      <c r="A200" s="88"/>
      <c r="B200" s="88"/>
    </row>
    <row r="201" spans="1:2" ht="15.75" thickBot="1" x14ac:dyDescent="0.25">
      <c r="A201" s="88"/>
      <c r="B201" s="88"/>
    </row>
    <row r="202" spans="1:2" ht="15.75" thickBot="1" x14ac:dyDescent="0.25">
      <c r="A202" s="88"/>
      <c r="B202" s="88"/>
    </row>
    <row r="203" spans="1:2" ht="15.75" thickBot="1" x14ac:dyDescent="0.25">
      <c r="A203" s="88"/>
      <c r="B203" s="88"/>
    </row>
    <row r="204" spans="1:2" ht="15.75" thickBot="1" x14ac:dyDescent="0.25">
      <c r="A204" s="88"/>
      <c r="B204" s="88"/>
    </row>
    <row r="205" spans="1:2" ht="15.75" thickBot="1" x14ac:dyDescent="0.25">
      <c r="A205" s="88"/>
      <c r="B205" s="88"/>
    </row>
    <row r="206" spans="1:2" ht="15.75" thickBot="1" x14ac:dyDescent="0.25">
      <c r="A206" s="88"/>
      <c r="B206" s="88"/>
    </row>
    <row r="207" spans="1:2" ht="15.75" thickBot="1" x14ac:dyDescent="0.25">
      <c r="A207" s="88"/>
      <c r="B207" s="88"/>
    </row>
    <row r="208" spans="1:2" ht="15.75" thickBot="1" x14ac:dyDescent="0.25">
      <c r="A208" s="88"/>
      <c r="B208" s="88"/>
    </row>
    <row r="209" spans="1:2" ht="15.75" thickBot="1" x14ac:dyDescent="0.25">
      <c r="A209" s="88"/>
      <c r="B209" s="88"/>
    </row>
    <row r="210" spans="1:2" ht="15.75" thickBot="1" x14ac:dyDescent="0.25">
      <c r="A210" s="88"/>
      <c r="B210" s="88"/>
    </row>
    <row r="211" spans="1:2" ht="15.75" thickBot="1" x14ac:dyDescent="0.25">
      <c r="A211" s="88"/>
      <c r="B211" s="88"/>
    </row>
    <row r="212" spans="1:2" ht="15.75" thickBot="1" x14ac:dyDescent="0.25">
      <c r="A212" s="88"/>
      <c r="B212" s="88"/>
    </row>
    <row r="213" spans="1:2" ht="15.75" thickBot="1" x14ac:dyDescent="0.25">
      <c r="A213" s="88"/>
      <c r="B213" s="88"/>
    </row>
    <row r="214" spans="1:2" ht="15.75" thickBot="1" x14ac:dyDescent="0.25">
      <c r="A214" s="88"/>
      <c r="B214" s="88"/>
    </row>
    <row r="215" spans="1:2" ht="15.75" thickBot="1" x14ac:dyDescent="0.25">
      <c r="A215" s="88"/>
      <c r="B215" s="88"/>
    </row>
    <row r="216" spans="1:2" ht="15.75" thickBot="1" x14ac:dyDescent="0.25">
      <c r="A216" s="88"/>
      <c r="B216" s="88"/>
    </row>
    <row r="217" spans="1:2" ht="15.75" thickBot="1" x14ac:dyDescent="0.25">
      <c r="A217" s="88"/>
      <c r="B217" s="88"/>
    </row>
    <row r="218" spans="1:2" ht="15.75" thickBot="1" x14ac:dyDescent="0.25">
      <c r="A218" s="88"/>
      <c r="B218" s="88"/>
    </row>
    <row r="219" spans="1:2" ht="15.75" thickBot="1" x14ac:dyDescent="0.25">
      <c r="A219" s="88"/>
      <c r="B219" s="88"/>
    </row>
    <row r="220" spans="1:2" ht="15.75" thickBot="1" x14ac:dyDescent="0.25">
      <c r="A220" s="88"/>
      <c r="B220" s="88"/>
    </row>
    <row r="221" spans="1:2" ht="15.75" thickBot="1" x14ac:dyDescent="0.25">
      <c r="A221" s="88"/>
      <c r="B221" s="88"/>
    </row>
    <row r="222" spans="1:2" ht="15.75" thickBot="1" x14ac:dyDescent="0.25">
      <c r="A222" s="88"/>
      <c r="B222" s="88"/>
    </row>
    <row r="223" spans="1:2" ht="15.75" thickBot="1" x14ac:dyDescent="0.25">
      <c r="A223" s="88"/>
      <c r="B223" s="88"/>
    </row>
    <row r="224" spans="1:2" ht="15.75" thickBot="1" x14ac:dyDescent="0.25">
      <c r="A224" s="88"/>
      <c r="B224" s="88"/>
    </row>
    <row r="225" spans="1:2" ht="15.75" thickBot="1" x14ac:dyDescent="0.25">
      <c r="A225" s="88"/>
      <c r="B225" s="88"/>
    </row>
    <row r="226" spans="1:2" ht="15.75" thickBot="1" x14ac:dyDescent="0.25">
      <c r="A226" s="88"/>
      <c r="B226" s="88"/>
    </row>
    <row r="227" spans="1:2" ht="15.75" thickBot="1" x14ac:dyDescent="0.25">
      <c r="A227" s="88"/>
      <c r="B227" s="88"/>
    </row>
    <row r="228" spans="1:2" ht="15.75" thickBot="1" x14ac:dyDescent="0.25">
      <c r="A228" s="88"/>
      <c r="B228" s="88"/>
    </row>
    <row r="229" spans="1:2" ht="15.75" thickBot="1" x14ac:dyDescent="0.25">
      <c r="A229" s="88"/>
      <c r="B229" s="88"/>
    </row>
    <row r="230" spans="1:2" ht="15.75" thickBot="1" x14ac:dyDescent="0.25">
      <c r="A230" s="88"/>
      <c r="B230" s="88"/>
    </row>
    <row r="231" spans="1:2" ht="15.75" thickBot="1" x14ac:dyDescent="0.25">
      <c r="A231" s="88"/>
      <c r="B231" s="88"/>
    </row>
    <row r="232" spans="1:2" ht="15.75" thickBot="1" x14ac:dyDescent="0.25">
      <c r="A232" s="88"/>
      <c r="B232" s="88"/>
    </row>
    <row r="233" spans="1:2" ht="15.75" thickBot="1" x14ac:dyDescent="0.25">
      <c r="A233" s="88"/>
      <c r="B233" s="88"/>
    </row>
    <row r="234" spans="1:2" ht="15.75" thickBot="1" x14ac:dyDescent="0.25">
      <c r="A234" s="88"/>
      <c r="B234" s="88"/>
    </row>
    <row r="235" spans="1:2" ht="15.75" thickBot="1" x14ac:dyDescent="0.25">
      <c r="A235" s="88"/>
      <c r="B235" s="88"/>
    </row>
    <row r="236" spans="1:2" ht="15.75" thickBot="1" x14ac:dyDescent="0.25">
      <c r="A236" s="88"/>
      <c r="B236" s="88"/>
    </row>
    <row r="237" spans="1:2" ht="15.75" thickBot="1" x14ac:dyDescent="0.25">
      <c r="A237" s="88"/>
      <c r="B237" s="88"/>
    </row>
    <row r="238" spans="1:2" ht="15.75" thickBot="1" x14ac:dyDescent="0.25">
      <c r="A238" s="88"/>
      <c r="B238" s="88"/>
    </row>
    <row r="239" spans="1:2" ht="15.75" thickBot="1" x14ac:dyDescent="0.25">
      <c r="A239" s="88"/>
      <c r="B239" s="88"/>
    </row>
    <row r="240" spans="1:2" ht="15.75" thickBot="1" x14ac:dyDescent="0.25">
      <c r="A240" s="88"/>
      <c r="B240" s="88"/>
    </row>
    <row r="241" spans="1:2" ht="15.75" thickBot="1" x14ac:dyDescent="0.25">
      <c r="A241" s="88"/>
      <c r="B241" s="88"/>
    </row>
    <row r="242" spans="1:2" ht="15.75" thickBot="1" x14ac:dyDescent="0.25">
      <c r="A242" s="88"/>
      <c r="B242" s="88"/>
    </row>
    <row r="243" spans="1:2" ht="15.75" thickBot="1" x14ac:dyDescent="0.25">
      <c r="A243" s="88"/>
      <c r="B243" s="88"/>
    </row>
    <row r="244" spans="1:2" ht="15.75" thickBot="1" x14ac:dyDescent="0.25">
      <c r="A244" s="88"/>
      <c r="B244" s="88"/>
    </row>
    <row r="245" spans="1:2" ht="15.75" thickBot="1" x14ac:dyDescent="0.25">
      <c r="A245" s="88"/>
      <c r="B245" s="88"/>
    </row>
    <row r="246" spans="1:2" ht="15.75" thickBot="1" x14ac:dyDescent="0.25">
      <c r="A246" s="88"/>
      <c r="B246" s="88"/>
    </row>
    <row r="247" spans="1:2" ht="15.75" thickBot="1" x14ac:dyDescent="0.25">
      <c r="A247" s="88"/>
      <c r="B247" s="88"/>
    </row>
    <row r="248" spans="1:2" ht="15.75" thickBot="1" x14ac:dyDescent="0.25">
      <c r="A248" s="88"/>
      <c r="B248" s="88"/>
    </row>
    <row r="249" spans="1:2" ht="15.75" thickBot="1" x14ac:dyDescent="0.25">
      <c r="A249" s="88"/>
      <c r="B249" s="88"/>
    </row>
    <row r="250" spans="1:2" ht="15.75" thickBot="1" x14ac:dyDescent="0.25">
      <c r="A250" s="88"/>
      <c r="B250" s="88"/>
    </row>
    <row r="251" spans="1:2" ht="15.75" thickBot="1" x14ac:dyDescent="0.25">
      <c r="A251" s="88"/>
      <c r="B251" s="88"/>
    </row>
    <row r="252" spans="1:2" ht="15.75" thickBot="1" x14ac:dyDescent="0.25">
      <c r="A252" s="88"/>
      <c r="B252" s="88"/>
    </row>
    <row r="253" spans="1:2" ht="15.75" thickBot="1" x14ac:dyDescent="0.25">
      <c r="A253" s="88"/>
      <c r="B253" s="88"/>
    </row>
    <row r="254" spans="1:2" ht="15.75" thickBot="1" x14ac:dyDescent="0.25">
      <c r="A254" s="88"/>
      <c r="B254" s="88"/>
    </row>
    <row r="255" spans="1:2" ht="15.75" thickBot="1" x14ac:dyDescent="0.25">
      <c r="A255" s="88"/>
      <c r="B255" s="88"/>
    </row>
    <row r="256" spans="1:2" ht="15.75" thickBot="1" x14ac:dyDescent="0.25">
      <c r="A256" s="88"/>
      <c r="B256" s="88"/>
    </row>
    <row r="257" spans="1:2" ht="15.75" thickBot="1" x14ac:dyDescent="0.25">
      <c r="A257" s="88"/>
      <c r="B257" s="88"/>
    </row>
    <row r="258" spans="1:2" ht="15.75" thickBot="1" x14ac:dyDescent="0.25">
      <c r="A258" s="88"/>
      <c r="B258" s="88"/>
    </row>
    <row r="259" spans="1:2" ht="15.75" thickBot="1" x14ac:dyDescent="0.25">
      <c r="A259" s="88"/>
      <c r="B259" s="88"/>
    </row>
    <row r="260" spans="1:2" ht="15.75" thickBot="1" x14ac:dyDescent="0.25">
      <c r="A260" s="88"/>
      <c r="B260" s="88"/>
    </row>
    <row r="261" spans="1:2" ht="15.75" thickBot="1" x14ac:dyDescent="0.25">
      <c r="A261" s="88"/>
      <c r="B261" s="88"/>
    </row>
    <row r="262" spans="1:2" ht="15.75" thickBot="1" x14ac:dyDescent="0.25">
      <c r="A262" s="88"/>
      <c r="B262" s="88"/>
    </row>
    <row r="263" spans="1:2" ht="15.75" thickBot="1" x14ac:dyDescent="0.25">
      <c r="A263" s="88"/>
      <c r="B263" s="88"/>
    </row>
    <row r="264" spans="1:2" ht="15.75" thickBot="1" x14ac:dyDescent="0.25">
      <c r="A264" s="88"/>
      <c r="B264" s="88"/>
    </row>
    <row r="265" spans="1:2" ht="15.75" thickBot="1" x14ac:dyDescent="0.25">
      <c r="A265" s="88"/>
      <c r="B265" s="88"/>
    </row>
    <row r="266" spans="1:2" ht="15.75" thickBot="1" x14ac:dyDescent="0.25">
      <c r="A266" s="88"/>
      <c r="B266" s="88"/>
    </row>
    <row r="267" spans="1:2" ht="15.75" thickBot="1" x14ac:dyDescent="0.25">
      <c r="A267" s="88"/>
      <c r="B267" s="88"/>
    </row>
    <row r="268" spans="1:2" ht="15.75" thickBot="1" x14ac:dyDescent="0.25">
      <c r="A268" s="88"/>
      <c r="B268" s="88"/>
    </row>
    <row r="269" spans="1:2" ht="15.75" thickBot="1" x14ac:dyDescent="0.25">
      <c r="A269" s="88"/>
      <c r="B269" s="88"/>
    </row>
    <row r="270" spans="1:2" ht="15.75" thickBot="1" x14ac:dyDescent="0.25">
      <c r="A270" s="88"/>
      <c r="B270" s="88"/>
    </row>
    <row r="271" spans="1:2" ht="15.75" thickBot="1" x14ac:dyDescent="0.25">
      <c r="A271" s="88"/>
      <c r="B271" s="88"/>
    </row>
    <row r="272" spans="1:2" ht="15.75" thickBot="1" x14ac:dyDescent="0.25">
      <c r="A272" s="88"/>
      <c r="B272" s="88"/>
    </row>
    <row r="273" spans="1:2" ht="15.75" thickBot="1" x14ac:dyDescent="0.25">
      <c r="A273" s="88"/>
      <c r="B273" s="88"/>
    </row>
    <row r="274" spans="1:2" ht="15.75" thickBot="1" x14ac:dyDescent="0.25">
      <c r="A274" s="88"/>
      <c r="B274" s="88"/>
    </row>
    <row r="275" spans="1:2" ht="15.75" thickBot="1" x14ac:dyDescent="0.25">
      <c r="A275" s="88"/>
      <c r="B275" s="88"/>
    </row>
    <row r="276" spans="1:2" ht="15.75" thickBot="1" x14ac:dyDescent="0.25">
      <c r="A276" s="88"/>
      <c r="B276" s="88"/>
    </row>
    <row r="277" spans="1:2" ht="15.75" thickBot="1" x14ac:dyDescent="0.25">
      <c r="A277" s="88"/>
      <c r="B277" s="88"/>
    </row>
    <row r="278" spans="1:2" ht="15.75" thickBot="1" x14ac:dyDescent="0.25">
      <c r="A278" s="88"/>
      <c r="B278" s="88"/>
    </row>
    <row r="279" spans="1:2" ht="15.75" thickBot="1" x14ac:dyDescent="0.25">
      <c r="A279" s="88"/>
      <c r="B279" s="88"/>
    </row>
    <row r="280" spans="1:2" ht="15.75" thickBot="1" x14ac:dyDescent="0.25">
      <c r="A280" s="88"/>
      <c r="B280" s="88"/>
    </row>
    <row r="281" spans="1:2" ht="15.75" thickBot="1" x14ac:dyDescent="0.25">
      <c r="A281" s="88"/>
      <c r="B281" s="88"/>
    </row>
    <row r="282" spans="1:2" ht="15.75" thickBot="1" x14ac:dyDescent="0.25">
      <c r="A282" s="88"/>
      <c r="B282" s="88"/>
    </row>
    <row r="283" spans="1:2" ht="15.75" thickBot="1" x14ac:dyDescent="0.25">
      <c r="A283" s="88"/>
      <c r="B283" s="88"/>
    </row>
    <row r="284" spans="1:2" ht="15.75" thickBot="1" x14ac:dyDescent="0.25">
      <c r="A284" s="88"/>
      <c r="B284" s="88"/>
    </row>
    <row r="285" spans="1:2" ht="15.75" thickBot="1" x14ac:dyDescent="0.25">
      <c r="A285" s="88"/>
      <c r="B285" s="88"/>
    </row>
    <row r="286" spans="1:2" ht="15.75" thickBot="1" x14ac:dyDescent="0.25">
      <c r="A286" s="88"/>
      <c r="B286" s="88"/>
    </row>
    <row r="287" spans="1:2" ht="15.75" thickBot="1" x14ac:dyDescent="0.25">
      <c r="A287" s="88"/>
      <c r="B287" s="88"/>
    </row>
    <row r="288" spans="1:2" ht="15.75" thickBot="1" x14ac:dyDescent="0.25">
      <c r="A288" s="88"/>
      <c r="B288" s="88"/>
    </row>
    <row r="289" spans="1:2" ht="15.75" thickBot="1" x14ac:dyDescent="0.25">
      <c r="A289" s="88"/>
      <c r="B289" s="88"/>
    </row>
    <row r="290" spans="1:2" ht="15.75" thickBot="1" x14ac:dyDescent="0.25">
      <c r="A290" s="88"/>
      <c r="B290" s="88"/>
    </row>
    <row r="291" spans="1:2" ht="15.75" thickBot="1" x14ac:dyDescent="0.25">
      <c r="A291" s="88"/>
      <c r="B291" s="88"/>
    </row>
    <row r="292" spans="1:2" ht="15.75" thickBot="1" x14ac:dyDescent="0.25">
      <c r="A292" s="88"/>
      <c r="B292" s="88"/>
    </row>
    <row r="293" spans="1:2" ht="15.75" thickBot="1" x14ac:dyDescent="0.25">
      <c r="A293" s="88"/>
      <c r="B293" s="88"/>
    </row>
    <row r="294" spans="1:2" ht="15.75" thickBot="1" x14ac:dyDescent="0.25">
      <c r="A294" s="88"/>
      <c r="B294" s="88"/>
    </row>
    <row r="295" spans="1:2" ht="15.75" thickBot="1" x14ac:dyDescent="0.25">
      <c r="A295" s="88"/>
      <c r="B295" s="88"/>
    </row>
    <row r="296" spans="1:2" ht="15.75" thickBot="1" x14ac:dyDescent="0.25">
      <c r="A296" s="88"/>
      <c r="B296" s="88"/>
    </row>
    <row r="297" spans="1:2" ht="15.75" thickBot="1" x14ac:dyDescent="0.25">
      <c r="A297" s="88"/>
      <c r="B297" s="88"/>
    </row>
    <row r="298" spans="1:2" ht="15.75" thickBot="1" x14ac:dyDescent="0.25">
      <c r="A298" s="88"/>
      <c r="B298" s="88"/>
    </row>
    <row r="299" spans="1:2" ht="15.75" thickBot="1" x14ac:dyDescent="0.25">
      <c r="A299" s="88"/>
      <c r="B299" s="88"/>
    </row>
    <row r="300" spans="1:2" ht="15.75" thickBot="1" x14ac:dyDescent="0.25">
      <c r="A300" s="88"/>
      <c r="B300" s="88"/>
    </row>
    <row r="301" spans="1:2" ht="15.75" thickBot="1" x14ac:dyDescent="0.25">
      <c r="A301" s="88"/>
      <c r="B301" s="88"/>
    </row>
    <row r="302" spans="1:2" ht="15.75" thickBot="1" x14ac:dyDescent="0.25">
      <c r="A302" s="88"/>
      <c r="B302" s="88"/>
    </row>
    <row r="303" spans="1:2" ht="15.75" thickBot="1" x14ac:dyDescent="0.25">
      <c r="A303" s="88"/>
      <c r="B303" s="88"/>
    </row>
    <row r="304" spans="1:2" ht="15.75" thickBot="1" x14ac:dyDescent="0.25">
      <c r="A304" s="88"/>
      <c r="B304" s="88"/>
    </row>
    <row r="305" spans="1:2" ht="15.75" thickBot="1" x14ac:dyDescent="0.25">
      <c r="A305" s="88"/>
      <c r="B305" s="88"/>
    </row>
    <row r="306" spans="1:2" ht="15.75" thickBot="1" x14ac:dyDescent="0.25">
      <c r="A306" s="88"/>
      <c r="B306" s="88"/>
    </row>
    <row r="307" spans="1:2" ht="15.75" thickBot="1" x14ac:dyDescent="0.25">
      <c r="A307" s="88"/>
      <c r="B307" s="88"/>
    </row>
    <row r="308" spans="1:2" ht="15.75" thickBot="1" x14ac:dyDescent="0.25">
      <c r="A308" s="88"/>
      <c r="B308" s="88"/>
    </row>
    <row r="309" spans="1:2" ht="15.75" thickBot="1" x14ac:dyDescent="0.25">
      <c r="A309" s="88"/>
      <c r="B309" s="88"/>
    </row>
    <row r="310" spans="1:2" ht="15.75" thickBot="1" x14ac:dyDescent="0.25">
      <c r="A310" s="88"/>
      <c r="B310" s="88"/>
    </row>
    <row r="311" spans="1:2" ht="15.75" thickBot="1" x14ac:dyDescent="0.25">
      <c r="A311" s="88"/>
      <c r="B311" s="88"/>
    </row>
    <row r="312" spans="1:2" ht="15.75" thickBot="1" x14ac:dyDescent="0.25">
      <c r="A312" s="88"/>
      <c r="B312" s="88"/>
    </row>
    <row r="313" spans="1:2" ht="15.75" thickBot="1" x14ac:dyDescent="0.25">
      <c r="A313" s="88"/>
      <c r="B313" s="88"/>
    </row>
    <row r="314" spans="1:2" ht="15.75" thickBot="1" x14ac:dyDescent="0.25">
      <c r="A314" s="88"/>
      <c r="B314" s="88"/>
    </row>
    <row r="315" spans="1:2" ht="15.75" thickBot="1" x14ac:dyDescent="0.25">
      <c r="A315" s="88"/>
      <c r="B315" s="88"/>
    </row>
    <row r="316" spans="1:2" ht="15.75" thickBot="1" x14ac:dyDescent="0.25">
      <c r="A316" s="88"/>
      <c r="B316" s="88"/>
    </row>
    <row r="317" spans="1:2" ht="15.75" thickBot="1" x14ac:dyDescent="0.25">
      <c r="A317" s="88"/>
      <c r="B317" s="88"/>
    </row>
    <row r="318" spans="1:2" ht="15.75" thickBot="1" x14ac:dyDescent="0.25">
      <c r="A318" s="88"/>
      <c r="B318" s="88"/>
    </row>
    <row r="319" spans="1:2" ht="15.75" thickBot="1" x14ac:dyDescent="0.25">
      <c r="A319" s="88"/>
      <c r="B319" s="88"/>
    </row>
    <row r="320" spans="1:2" ht="15.75" thickBot="1" x14ac:dyDescent="0.25">
      <c r="A320" s="88"/>
      <c r="B320" s="88"/>
    </row>
    <row r="321" spans="1:2" ht="15.75" thickBot="1" x14ac:dyDescent="0.25">
      <c r="A321" s="88"/>
      <c r="B321" s="88"/>
    </row>
    <row r="322" spans="1:2" ht="15.75" thickBot="1" x14ac:dyDescent="0.25">
      <c r="A322" s="88"/>
      <c r="B322" s="88"/>
    </row>
    <row r="323" spans="1:2" ht="15.75" thickBot="1" x14ac:dyDescent="0.25">
      <c r="A323" s="88"/>
      <c r="B323" s="88"/>
    </row>
    <row r="324" spans="1:2" ht="15.75" thickBot="1" x14ac:dyDescent="0.25">
      <c r="A324" s="88"/>
      <c r="B324" s="88"/>
    </row>
    <row r="325" spans="1:2" ht="15.75" thickBot="1" x14ac:dyDescent="0.25">
      <c r="A325" s="88"/>
      <c r="B325" s="88"/>
    </row>
    <row r="326" spans="1:2" ht="15.75" thickBot="1" x14ac:dyDescent="0.25">
      <c r="A326" s="88"/>
      <c r="B326" s="88"/>
    </row>
    <row r="327" spans="1:2" ht="15.75" thickBot="1" x14ac:dyDescent="0.25">
      <c r="A327" s="88"/>
      <c r="B327" s="88"/>
    </row>
    <row r="328" spans="1:2" ht="15.75" thickBot="1" x14ac:dyDescent="0.25">
      <c r="A328" s="88"/>
      <c r="B328" s="88"/>
    </row>
    <row r="329" spans="1:2" ht="15.75" thickBot="1" x14ac:dyDescent="0.25">
      <c r="A329" s="88"/>
      <c r="B329" s="88"/>
    </row>
    <row r="330" spans="1:2" ht="15.75" thickBot="1" x14ac:dyDescent="0.25">
      <c r="A330" s="88"/>
      <c r="B330" s="88"/>
    </row>
    <row r="331" spans="1:2" ht="15.75" thickBot="1" x14ac:dyDescent="0.25">
      <c r="A331" s="88"/>
      <c r="B331" s="88"/>
    </row>
    <row r="332" spans="1:2" ht="15.75" thickBot="1" x14ac:dyDescent="0.25">
      <c r="A332" s="88"/>
      <c r="B332" s="88"/>
    </row>
    <row r="333" spans="1:2" ht="15.75" thickBot="1" x14ac:dyDescent="0.25">
      <c r="A333" s="88"/>
      <c r="B333" s="88"/>
    </row>
    <row r="334" spans="1:2" ht="15.75" thickBot="1" x14ac:dyDescent="0.25">
      <c r="A334" s="88"/>
      <c r="B334" s="88"/>
    </row>
    <row r="335" spans="1:2" ht="15.75" thickBot="1" x14ac:dyDescent="0.25">
      <c r="A335" s="88"/>
      <c r="B335" s="88"/>
    </row>
    <row r="336" spans="1:2" ht="15.75" thickBot="1" x14ac:dyDescent="0.25">
      <c r="A336" s="88"/>
      <c r="B336" s="88"/>
    </row>
    <row r="337" spans="1:2" ht="15.75" thickBot="1" x14ac:dyDescent="0.25">
      <c r="A337" s="88"/>
      <c r="B337" s="88"/>
    </row>
    <row r="338" spans="1:2" ht="15.75" thickBot="1" x14ac:dyDescent="0.25">
      <c r="A338" s="88"/>
      <c r="B338" s="88"/>
    </row>
    <row r="339" spans="1:2" ht="15.75" thickBot="1" x14ac:dyDescent="0.25">
      <c r="A339" s="88"/>
      <c r="B339" s="88"/>
    </row>
    <row r="340" spans="1:2" ht="15.75" thickBot="1" x14ac:dyDescent="0.25">
      <c r="A340" s="88"/>
      <c r="B340" s="88"/>
    </row>
    <row r="341" spans="1:2" ht="15.75" thickBot="1" x14ac:dyDescent="0.25">
      <c r="A341" s="88"/>
      <c r="B341" s="88"/>
    </row>
    <row r="342" spans="1:2" ht="15.75" thickBot="1" x14ac:dyDescent="0.25">
      <c r="A342" s="88"/>
      <c r="B342" s="88"/>
    </row>
    <row r="343" spans="1:2" ht="15.75" thickBot="1" x14ac:dyDescent="0.25">
      <c r="A343" s="88"/>
      <c r="B343" s="88"/>
    </row>
    <row r="344" spans="1:2" ht="15.75" thickBot="1" x14ac:dyDescent="0.25">
      <c r="A344" s="88"/>
      <c r="B344" s="88"/>
    </row>
    <row r="345" spans="1:2" ht="15.75" thickBot="1" x14ac:dyDescent="0.25">
      <c r="A345" s="88"/>
      <c r="B345" s="88"/>
    </row>
    <row r="346" spans="1:2" ht="15.75" thickBot="1" x14ac:dyDescent="0.25">
      <c r="A346" s="88"/>
      <c r="B346" s="88"/>
    </row>
    <row r="347" spans="1:2" ht="15.75" thickBot="1" x14ac:dyDescent="0.25">
      <c r="A347" s="88"/>
      <c r="B347" s="88"/>
    </row>
    <row r="348" spans="1:2" ht="15.75" thickBot="1" x14ac:dyDescent="0.25">
      <c r="A348" s="88"/>
      <c r="B348" s="88"/>
    </row>
    <row r="349" spans="1:2" ht="15.75" thickBot="1" x14ac:dyDescent="0.25">
      <c r="A349" s="88"/>
      <c r="B349" s="88"/>
    </row>
    <row r="350" spans="1:2" ht="15.75" thickBot="1" x14ac:dyDescent="0.25">
      <c r="A350" s="88"/>
      <c r="B350" s="88"/>
    </row>
    <row r="351" spans="1:2" ht="15.75" thickBot="1" x14ac:dyDescent="0.25">
      <c r="A351" s="88"/>
      <c r="B351" s="88"/>
    </row>
    <row r="352" spans="1:2" ht="15.75" thickBot="1" x14ac:dyDescent="0.25">
      <c r="A352" s="88"/>
      <c r="B352" s="88"/>
    </row>
    <row r="353" spans="1:2" ht="15.75" thickBot="1" x14ac:dyDescent="0.25">
      <c r="A353" s="88"/>
      <c r="B353" s="88"/>
    </row>
    <row r="354" spans="1:2" ht="15.75" thickBot="1" x14ac:dyDescent="0.25">
      <c r="A354" s="88"/>
      <c r="B354" s="88"/>
    </row>
    <row r="355" spans="1:2" ht="15.75" thickBot="1" x14ac:dyDescent="0.25">
      <c r="A355" s="88"/>
      <c r="B355" s="88"/>
    </row>
    <row r="356" spans="1:2" ht="15.75" thickBot="1" x14ac:dyDescent="0.25">
      <c r="A356" s="88"/>
      <c r="B356" s="88"/>
    </row>
    <row r="357" spans="1:2" ht="15.75" thickBot="1" x14ac:dyDescent="0.25">
      <c r="A357" s="88"/>
      <c r="B357" s="88"/>
    </row>
    <row r="358" spans="1:2" ht="15.75" thickBot="1" x14ac:dyDescent="0.25">
      <c r="A358" s="88"/>
      <c r="B358" s="88"/>
    </row>
    <row r="359" spans="1:2" ht="15.75" thickBot="1" x14ac:dyDescent="0.25">
      <c r="A359" s="88"/>
      <c r="B359" s="88"/>
    </row>
    <row r="360" spans="1:2" ht="15.75" thickBot="1" x14ac:dyDescent="0.25">
      <c r="A360" s="88"/>
      <c r="B360" s="88"/>
    </row>
    <row r="361" spans="1:2" ht="15.75" thickBot="1" x14ac:dyDescent="0.25">
      <c r="A361" s="88"/>
      <c r="B361" s="88"/>
    </row>
    <row r="362" spans="1:2" ht="15.75" thickBot="1" x14ac:dyDescent="0.25">
      <c r="A362" s="88"/>
      <c r="B362" s="88"/>
    </row>
    <row r="363" spans="1:2" ht="15.75" thickBot="1" x14ac:dyDescent="0.25">
      <c r="A363" s="88"/>
      <c r="B363" s="88"/>
    </row>
    <row r="364" spans="1:2" ht="15.75" thickBot="1" x14ac:dyDescent="0.25">
      <c r="A364" s="88"/>
      <c r="B364" s="88"/>
    </row>
    <row r="365" spans="1:2" ht="15.75" thickBot="1" x14ac:dyDescent="0.25">
      <c r="A365" s="88"/>
      <c r="B365" s="88"/>
    </row>
    <row r="366" spans="1:2" ht="15.75" thickBot="1" x14ac:dyDescent="0.25">
      <c r="A366" s="88"/>
      <c r="B366" s="88"/>
    </row>
    <row r="367" spans="1:2" ht="15.75" thickBot="1" x14ac:dyDescent="0.25">
      <c r="A367" s="88"/>
      <c r="B367" s="88"/>
    </row>
    <row r="368" spans="1:2" ht="15.75" thickBot="1" x14ac:dyDescent="0.25">
      <c r="A368" s="88"/>
      <c r="B368" s="88"/>
    </row>
    <row r="369" spans="1:2" ht="15.75" thickBot="1" x14ac:dyDescent="0.25">
      <c r="A369" s="88"/>
      <c r="B369" s="88"/>
    </row>
    <row r="370" spans="1:2" ht="15.75" thickBot="1" x14ac:dyDescent="0.25">
      <c r="A370" s="88"/>
      <c r="B370" s="88"/>
    </row>
    <row r="371" spans="1:2" ht="15.75" thickBot="1" x14ac:dyDescent="0.25">
      <c r="A371" s="88"/>
      <c r="B371" s="88"/>
    </row>
    <row r="372" spans="1:2" ht="15.75" thickBot="1" x14ac:dyDescent="0.25">
      <c r="A372" s="88"/>
      <c r="B372" s="88"/>
    </row>
    <row r="373" spans="1:2" ht="15.75" thickBot="1" x14ac:dyDescent="0.25">
      <c r="A373" s="88"/>
      <c r="B373" s="88"/>
    </row>
    <row r="374" spans="1:2" ht="15.75" thickBot="1" x14ac:dyDescent="0.25">
      <c r="A374" s="88"/>
      <c r="B374" s="88"/>
    </row>
    <row r="375" spans="1:2" ht="15.75" thickBot="1" x14ac:dyDescent="0.25">
      <c r="A375" s="88"/>
      <c r="B375" s="88"/>
    </row>
    <row r="376" spans="1:2" ht="15.75" thickBot="1" x14ac:dyDescent="0.25">
      <c r="A376" s="88"/>
      <c r="B376" s="88"/>
    </row>
    <row r="377" spans="1:2" ht="15.75" thickBot="1" x14ac:dyDescent="0.25">
      <c r="A377" s="88"/>
      <c r="B377" s="88"/>
    </row>
    <row r="378" spans="1:2" ht="15.75" thickBot="1" x14ac:dyDescent="0.25">
      <c r="A378" s="88"/>
      <c r="B378" s="88"/>
    </row>
    <row r="379" spans="1:2" ht="15.75" thickBot="1" x14ac:dyDescent="0.25">
      <c r="A379" s="88"/>
      <c r="B379" s="88"/>
    </row>
    <row r="380" spans="1:2" ht="15.75" thickBot="1" x14ac:dyDescent="0.25">
      <c r="A380" s="88"/>
      <c r="B380" s="88"/>
    </row>
    <row r="381" spans="1:2" ht="15.75" thickBot="1" x14ac:dyDescent="0.25">
      <c r="A381" s="88"/>
      <c r="B381" s="88"/>
    </row>
    <row r="382" spans="1:2" ht="15.75" thickBot="1" x14ac:dyDescent="0.25">
      <c r="A382" s="88"/>
      <c r="B382" s="88"/>
    </row>
    <row r="383" spans="1:2" ht="15.75" thickBot="1" x14ac:dyDescent="0.25">
      <c r="A383" s="88"/>
      <c r="B383" s="88"/>
    </row>
    <row r="384" spans="1:2" ht="15.75" thickBot="1" x14ac:dyDescent="0.25">
      <c r="A384" s="88"/>
      <c r="B384" s="88"/>
    </row>
    <row r="385" spans="1:2" ht="15.75" thickBot="1" x14ac:dyDescent="0.25">
      <c r="A385" s="88"/>
      <c r="B385" s="88"/>
    </row>
    <row r="386" spans="1:2" ht="15.75" thickBot="1" x14ac:dyDescent="0.25">
      <c r="A386" s="88"/>
      <c r="B386" s="88"/>
    </row>
    <row r="387" spans="1:2" ht="15.75" thickBot="1" x14ac:dyDescent="0.25">
      <c r="A387" s="88"/>
      <c r="B387" s="88"/>
    </row>
    <row r="388" spans="1:2" ht="15.75" thickBot="1" x14ac:dyDescent="0.25">
      <c r="A388" s="88"/>
      <c r="B388" s="88"/>
    </row>
    <row r="389" spans="1:2" ht="15.75" thickBot="1" x14ac:dyDescent="0.25">
      <c r="A389" s="88"/>
      <c r="B389" s="88"/>
    </row>
    <row r="390" spans="1:2" ht="15.75" thickBot="1" x14ac:dyDescent="0.25">
      <c r="A390" s="88"/>
      <c r="B390" s="88"/>
    </row>
    <row r="391" spans="1:2" ht="15.75" thickBot="1" x14ac:dyDescent="0.25">
      <c r="A391" s="88"/>
      <c r="B391" s="88"/>
    </row>
    <row r="392" spans="1:2" ht="15.75" thickBot="1" x14ac:dyDescent="0.25">
      <c r="A392" s="88"/>
      <c r="B392" s="88"/>
    </row>
    <row r="393" spans="1:2" ht="15.75" thickBot="1" x14ac:dyDescent="0.25">
      <c r="A393" s="88"/>
      <c r="B393" s="88"/>
    </row>
    <row r="394" spans="1:2" ht="15.75" thickBot="1" x14ac:dyDescent="0.25">
      <c r="A394" s="88"/>
      <c r="B394" s="88"/>
    </row>
    <row r="395" spans="1:2" ht="15.75" thickBot="1" x14ac:dyDescent="0.25">
      <c r="A395" s="88"/>
      <c r="B395" s="88"/>
    </row>
    <row r="396" spans="1:2" ht="15.75" thickBot="1" x14ac:dyDescent="0.25">
      <c r="A396" s="88"/>
      <c r="B396" s="88"/>
    </row>
    <row r="397" spans="1:2" ht="15.75" thickBot="1" x14ac:dyDescent="0.25">
      <c r="A397" s="88"/>
      <c r="B397" s="88"/>
    </row>
    <row r="398" spans="1:2" ht="15.75" thickBot="1" x14ac:dyDescent="0.25">
      <c r="A398" s="88"/>
      <c r="B398" s="88"/>
    </row>
    <row r="399" spans="1:2" ht="15.75" thickBot="1" x14ac:dyDescent="0.25">
      <c r="A399" s="88"/>
      <c r="B399" s="88"/>
    </row>
    <row r="400" spans="1:2" ht="15.75" thickBot="1" x14ac:dyDescent="0.25">
      <c r="A400" s="88"/>
      <c r="B400" s="88"/>
    </row>
    <row r="401" spans="1:2" ht="15.75" thickBot="1" x14ac:dyDescent="0.25">
      <c r="A401" s="88"/>
      <c r="B401" s="88"/>
    </row>
    <row r="402" spans="1:2" ht="15.75" thickBot="1" x14ac:dyDescent="0.25">
      <c r="A402" s="88"/>
      <c r="B402" s="88"/>
    </row>
    <row r="403" spans="1:2" ht="15.75" thickBot="1" x14ac:dyDescent="0.25">
      <c r="A403" s="88"/>
      <c r="B403" s="88"/>
    </row>
    <row r="404" spans="1:2" ht="15.75" thickBot="1" x14ac:dyDescent="0.25">
      <c r="A404" s="88"/>
      <c r="B404" s="88"/>
    </row>
    <row r="405" spans="1:2" ht="15.75" thickBot="1" x14ac:dyDescent="0.25">
      <c r="A405" s="88"/>
      <c r="B405" s="88"/>
    </row>
    <row r="406" spans="1:2" ht="15.75" thickBot="1" x14ac:dyDescent="0.25">
      <c r="A406" s="88"/>
      <c r="B406" s="88"/>
    </row>
    <row r="407" spans="1:2" ht="15.75" thickBot="1" x14ac:dyDescent="0.25">
      <c r="A407" s="88"/>
      <c r="B407" s="88"/>
    </row>
    <row r="408" spans="1:2" ht="15.75" thickBot="1" x14ac:dyDescent="0.25">
      <c r="A408" s="88"/>
      <c r="B408" s="88"/>
    </row>
    <row r="409" spans="1:2" ht="15.75" thickBot="1" x14ac:dyDescent="0.25">
      <c r="A409" s="88"/>
      <c r="B409" s="88"/>
    </row>
    <row r="410" spans="1:2" ht="15.75" thickBot="1" x14ac:dyDescent="0.25">
      <c r="A410" s="88"/>
      <c r="B410" s="88"/>
    </row>
    <row r="411" spans="1:2" ht="15.75" thickBot="1" x14ac:dyDescent="0.25">
      <c r="A411" s="88"/>
      <c r="B411" s="88"/>
    </row>
    <row r="412" spans="1:2" ht="15.75" thickBot="1" x14ac:dyDescent="0.25">
      <c r="A412" s="88"/>
      <c r="B412" s="88"/>
    </row>
    <row r="413" spans="1:2" ht="15.75" thickBot="1" x14ac:dyDescent="0.25">
      <c r="A413" s="88"/>
      <c r="B413" s="88"/>
    </row>
    <row r="414" spans="1:2" ht="15.75" thickBot="1" x14ac:dyDescent="0.25">
      <c r="A414" s="88"/>
      <c r="B414" s="88"/>
    </row>
    <row r="415" spans="1:2" ht="15.75" thickBot="1" x14ac:dyDescent="0.25">
      <c r="A415" s="88"/>
      <c r="B415" s="88"/>
    </row>
    <row r="416" spans="1:2" ht="15.75" thickBot="1" x14ac:dyDescent="0.25">
      <c r="A416" s="88"/>
      <c r="B416" s="88"/>
    </row>
    <row r="417" spans="1:2" ht="15.75" thickBot="1" x14ac:dyDescent="0.25">
      <c r="A417" s="88"/>
      <c r="B417" s="88"/>
    </row>
    <row r="418" spans="1:2" ht="15.75" thickBot="1" x14ac:dyDescent="0.25">
      <c r="A418" s="88"/>
      <c r="B418" s="88"/>
    </row>
    <row r="419" spans="1:2" ht="15.75" thickBot="1" x14ac:dyDescent="0.25">
      <c r="A419" s="88"/>
      <c r="B419" s="88"/>
    </row>
    <row r="420" spans="1:2" ht="15.75" thickBot="1" x14ac:dyDescent="0.25">
      <c r="A420" s="88"/>
      <c r="B420" s="88"/>
    </row>
    <row r="421" spans="1:2" ht="15.75" thickBot="1" x14ac:dyDescent="0.25">
      <c r="A421" s="88"/>
      <c r="B421" s="88"/>
    </row>
    <row r="422" spans="1:2" ht="15.75" thickBot="1" x14ac:dyDescent="0.25">
      <c r="A422" s="88"/>
      <c r="B422" s="88"/>
    </row>
    <row r="423" spans="1:2" ht="15.75" thickBot="1" x14ac:dyDescent="0.25">
      <c r="A423" s="88"/>
      <c r="B423" s="88"/>
    </row>
    <row r="424" spans="1:2" ht="15.75" thickBot="1" x14ac:dyDescent="0.25">
      <c r="A424" s="88"/>
      <c r="B424" s="88"/>
    </row>
    <row r="425" spans="1:2" ht="15.75" thickBot="1" x14ac:dyDescent="0.25">
      <c r="A425" s="88"/>
      <c r="B425" s="88"/>
    </row>
    <row r="426" spans="1:2" ht="15.75" thickBot="1" x14ac:dyDescent="0.25">
      <c r="A426" s="88"/>
      <c r="B426" s="88"/>
    </row>
    <row r="427" spans="1:2" ht="15.75" thickBot="1" x14ac:dyDescent="0.25">
      <c r="A427" s="88"/>
      <c r="B427" s="88"/>
    </row>
    <row r="428" spans="1:2" ht="15.75" thickBot="1" x14ac:dyDescent="0.25">
      <c r="A428" s="88"/>
      <c r="B428" s="88"/>
    </row>
    <row r="429" spans="1:2" ht="15.75" thickBot="1" x14ac:dyDescent="0.25">
      <c r="A429" s="88"/>
      <c r="B429" s="88"/>
    </row>
    <row r="430" spans="1:2" ht="15.75" thickBot="1" x14ac:dyDescent="0.25">
      <c r="A430" s="88"/>
      <c r="B430" s="88"/>
    </row>
    <row r="431" spans="1:2" ht="15.75" thickBot="1" x14ac:dyDescent="0.25">
      <c r="A431" s="88"/>
      <c r="B431" s="88"/>
    </row>
    <row r="432" spans="1:2" ht="15.75" thickBot="1" x14ac:dyDescent="0.25">
      <c r="A432" s="88"/>
      <c r="B432" s="88"/>
    </row>
    <row r="433" spans="1:2" ht="15.75" thickBot="1" x14ac:dyDescent="0.25">
      <c r="A433" s="88"/>
      <c r="B433" s="88"/>
    </row>
    <row r="434" spans="1:2" ht="15.75" thickBot="1" x14ac:dyDescent="0.25">
      <c r="A434" s="88"/>
      <c r="B434" s="88"/>
    </row>
    <row r="435" spans="1:2" ht="15.75" thickBot="1" x14ac:dyDescent="0.25">
      <c r="A435" s="88"/>
      <c r="B435" s="88"/>
    </row>
    <row r="436" spans="1:2" ht="15.75" thickBot="1" x14ac:dyDescent="0.25">
      <c r="A436" s="88"/>
      <c r="B436" s="88"/>
    </row>
    <row r="437" spans="1:2" ht="15.75" thickBot="1" x14ac:dyDescent="0.25">
      <c r="A437" s="88"/>
      <c r="B437" s="88"/>
    </row>
    <row r="438" spans="1:2" ht="15.75" thickBot="1" x14ac:dyDescent="0.25">
      <c r="A438" s="88"/>
      <c r="B438" s="88"/>
    </row>
    <row r="439" spans="1:2" ht="15.75" thickBot="1" x14ac:dyDescent="0.25">
      <c r="A439" s="88"/>
      <c r="B439" s="88"/>
    </row>
    <row r="440" spans="1:2" ht="15.75" thickBot="1" x14ac:dyDescent="0.25">
      <c r="A440" s="88"/>
      <c r="B440" s="88"/>
    </row>
    <row r="441" spans="1:2" ht="15.75" thickBot="1" x14ac:dyDescent="0.25">
      <c r="A441" s="88"/>
      <c r="B441" s="88"/>
    </row>
    <row r="442" spans="1:2" ht="15.75" thickBot="1" x14ac:dyDescent="0.25">
      <c r="A442" s="88"/>
      <c r="B442" s="88"/>
    </row>
    <row r="443" spans="1:2" ht="15.75" thickBot="1" x14ac:dyDescent="0.25">
      <c r="A443" s="88"/>
      <c r="B443" s="88"/>
    </row>
    <row r="444" spans="1:2" ht="15.75" thickBot="1" x14ac:dyDescent="0.25">
      <c r="A444" s="88"/>
      <c r="B444" s="88"/>
    </row>
    <row r="445" spans="1:2" ht="15.75" thickBot="1" x14ac:dyDescent="0.25">
      <c r="A445" s="88"/>
      <c r="B445" s="88"/>
    </row>
    <row r="446" spans="1:2" ht="15.75" thickBot="1" x14ac:dyDescent="0.25">
      <c r="A446" s="88"/>
      <c r="B446" s="88"/>
    </row>
    <row r="447" spans="1:2" ht="15.75" thickBot="1" x14ac:dyDescent="0.25">
      <c r="A447" s="88"/>
      <c r="B447" s="88"/>
    </row>
    <row r="448" spans="1:2" ht="15.75" thickBot="1" x14ac:dyDescent="0.25">
      <c r="A448" s="88"/>
      <c r="B448" s="88"/>
    </row>
    <row r="449" spans="1:2" ht="15.75" thickBot="1" x14ac:dyDescent="0.25">
      <c r="A449" s="88"/>
      <c r="B449" s="88"/>
    </row>
    <row r="450" spans="1:2" ht="15.75" thickBot="1" x14ac:dyDescent="0.25">
      <c r="A450" s="88"/>
      <c r="B450" s="88"/>
    </row>
    <row r="451" spans="1:2" ht="15.75" thickBot="1" x14ac:dyDescent="0.25">
      <c r="A451" s="88"/>
      <c r="B451" s="88"/>
    </row>
    <row r="452" spans="1:2" ht="15.75" thickBot="1" x14ac:dyDescent="0.25">
      <c r="A452" s="88"/>
      <c r="B452" s="88"/>
    </row>
    <row r="453" spans="1:2" ht="15.75" thickBot="1" x14ac:dyDescent="0.25">
      <c r="A453" s="88"/>
      <c r="B453" s="88"/>
    </row>
    <row r="454" spans="1:2" ht="15.75" thickBot="1" x14ac:dyDescent="0.25">
      <c r="A454" s="88"/>
      <c r="B454" s="88"/>
    </row>
    <row r="455" spans="1:2" ht="15.75" thickBot="1" x14ac:dyDescent="0.25">
      <c r="A455" s="88"/>
      <c r="B455" s="88"/>
    </row>
    <row r="456" spans="1:2" ht="15.75" thickBot="1" x14ac:dyDescent="0.25">
      <c r="A456" s="88"/>
      <c r="B456" s="88"/>
    </row>
    <row r="457" spans="1:2" ht="15.75" thickBot="1" x14ac:dyDescent="0.25">
      <c r="A457" s="88"/>
      <c r="B457" s="88"/>
    </row>
    <row r="458" spans="1:2" ht="15.75" thickBot="1" x14ac:dyDescent="0.25">
      <c r="A458" s="88"/>
      <c r="B458" s="88"/>
    </row>
    <row r="459" spans="1:2" ht="15.75" thickBot="1" x14ac:dyDescent="0.25">
      <c r="A459" s="88"/>
      <c r="B459" s="88"/>
    </row>
    <row r="460" spans="1:2" ht="15.75" thickBot="1" x14ac:dyDescent="0.25">
      <c r="A460" s="88"/>
      <c r="B460" s="88"/>
    </row>
    <row r="461" spans="1:2" ht="15.75" thickBot="1" x14ac:dyDescent="0.25">
      <c r="A461" s="88"/>
      <c r="B461" s="88"/>
    </row>
    <row r="462" spans="1:2" ht="15.75" thickBot="1" x14ac:dyDescent="0.25">
      <c r="A462" s="88"/>
      <c r="B462" s="88"/>
    </row>
    <row r="463" spans="1:2" ht="15.75" thickBot="1" x14ac:dyDescent="0.25">
      <c r="A463" s="88"/>
      <c r="B463" s="88"/>
    </row>
    <row r="464" spans="1:2" ht="15.75" thickBot="1" x14ac:dyDescent="0.25">
      <c r="A464" s="88"/>
      <c r="B464" s="88"/>
    </row>
    <row r="465" spans="1:2" ht="15.75" thickBot="1" x14ac:dyDescent="0.25">
      <c r="A465" s="88"/>
      <c r="B465" s="88"/>
    </row>
    <row r="466" spans="1:2" ht="15.75" thickBot="1" x14ac:dyDescent="0.25">
      <c r="A466" s="88"/>
      <c r="B466" s="88"/>
    </row>
    <row r="467" spans="1:2" ht="15.75" thickBot="1" x14ac:dyDescent="0.25">
      <c r="A467" s="88"/>
      <c r="B467" s="88"/>
    </row>
    <row r="468" spans="1:2" ht="15.75" thickBot="1" x14ac:dyDescent="0.25">
      <c r="A468" s="88"/>
      <c r="B468" s="88"/>
    </row>
    <row r="469" spans="1:2" ht="15.75" thickBot="1" x14ac:dyDescent="0.25">
      <c r="A469" s="88"/>
      <c r="B469" s="88"/>
    </row>
    <row r="470" spans="1:2" ht="15.75" thickBot="1" x14ac:dyDescent="0.25">
      <c r="A470" s="88"/>
      <c r="B470" s="88"/>
    </row>
    <row r="471" spans="1:2" ht="15.75" thickBot="1" x14ac:dyDescent="0.25">
      <c r="A471" s="88"/>
      <c r="B471" s="88"/>
    </row>
    <row r="472" spans="1:2" ht="15.75" thickBot="1" x14ac:dyDescent="0.25">
      <c r="A472" s="88"/>
      <c r="B472" s="88"/>
    </row>
    <row r="473" spans="1:2" ht="15.75" thickBot="1" x14ac:dyDescent="0.25">
      <c r="A473" s="88"/>
      <c r="B473" s="88"/>
    </row>
    <row r="474" spans="1:2" ht="15.75" thickBot="1" x14ac:dyDescent="0.25">
      <c r="A474" s="88"/>
      <c r="B474" s="88"/>
    </row>
    <row r="475" spans="1:2" ht="15.75" thickBot="1" x14ac:dyDescent="0.25">
      <c r="A475" s="88"/>
      <c r="B475" s="88"/>
    </row>
    <row r="476" spans="1:2" ht="15.75" thickBot="1" x14ac:dyDescent="0.25">
      <c r="A476" s="88"/>
      <c r="B476" s="88"/>
    </row>
    <row r="477" spans="1:2" ht="15.75" thickBot="1" x14ac:dyDescent="0.25">
      <c r="A477" s="88"/>
      <c r="B477" s="88"/>
    </row>
    <row r="478" spans="1:2" ht="15.75" thickBot="1" x14ac:dyDescent="0.25">
      <c r="A478" s="88"/>
      <c r="B478" s="88"/>
    </row>
    <row r="479" spans="1:2" ht="15.75" thickBot="1" x14ac:dyDescent="0.25">
      <c r="A479" s="88"/>
      <c r="B479" s="88"/>
    </row>
    <row r="480" spans="1:2" ht="15.75" thickBot="1" x14ac:dyDescent="0.25">
      <c r="A480" s="88"/>
      <c r="B480" s="88"/>
    </row>
    <row r="481" spans="1:2" ht="15.75" thickBot="1" x14ac:dyDescent="0.25">
      <c r="A481" s="88"/>
      <c r="B481" s="88"/>
    </row>
    <row r="482" spans="1:2" ht="15.75" thickBot="1" x14ac:dyDescent="0.25">
      <c r="A482" s="88"/>
      <c r="B482" s="88"/>
    </row>
    <row r="483" spans="1:2" ht="15.75" thickBot="1" x14ac:dyDescent="0.25">
      <c r="A483" s="88"/>
      <c r="B483" s="88"/>
    </row>
    <row r="484" spans="1:2" ht="15.75" thickBot="1" x14ac:dyDescent="0.25">
      <c r="A484" s="88"/>
      <c r="B484" s="88"/>
    </row>
    <row r="485" spans="1:2" ht="15.75" thickBot="1" x14ac:dyDescent="0.25">
      <c r="A485" s="88"/>
      <c r="B485" s="88"/>
    </row>
    <row r="486" spans="1:2" ht="15.75" thickBot="1" x14ac:dyDescent="0.25">
      <c r="A486" s="88"/>
      <c r="B486" s="88"/>
    </row>
    <row r="487" spans="1:2" ht="15.75" thickBot="1" x14ac:dyDescent="0.25">
      <c r="A487" s="88"/>
      <c r="B487" s="88"/>
    </row>
    <row r="488" spans="1:2" ht="15.75" thickBot="1" x14ac:dyDescent="0.25">
      <c r="A488" s="88"/>
      <c r="B488" s="88"/>
    </row>
    <row r="489" spans="1:2" ht="15.75" thickBot="1" x14ac:dyDescent="0.25">
      <c r="A489" s="88"/>
      <c r="B489" s="88"/>
    </row>
    <row r="490" spans="1:2" ht="15.75" thickBot="1" x14ac:dyDescent="0.25">
      <c r="A490" s="88"/>
      <c r="B490" s="88"/>
    </row>
    <row r="491" spans="1:2" ht="15.75" thickBot="1" x14ac:dyDescent="0.25">
      <c r="A491" s="88"/>
      <c r="B491" s="88"/>
    </row>
    <row r="492" spans="1:2" ht="15.75" thickBot="1" x14ac:dyDescent="0.25">
      <c r="A492" s="88"/>
      <c r="B492" s="88"/>
    </row>
    <row r="493" spans="1:2" ht="15.75" thickBot="1" x14ac:dyDescent="0.25">
      <c r="A493" s="88"/>
      <c r="B493" s="88"/>
    </row>
    <row r="494" spans="1:2" ht="15.75" thickBot="1" x14ac:dyDescent="0.25">
      <c r="A494" s="88"/>
      <c r="B494" s="88"/>
    </row>
    <row r="495" spans="1:2" ht="15.75" thickBot="1" x14ac:dyDescent="0.25">
      <c r="A495" s="88"/>
      <c r="B495" s="88"/>
    </row>
    <row r="496" spans="1:2" ht="15.75" thickBot="1" x14ac:dyDescent="0.25">
      <c r="A496" s="88"/>
      <c r="B496" s="88"/>
    </row>
    <row r="497" spans="1:2" ht="15.75" thickBot="1" x14ac:dyDescent="0.25">
      <c r="A497" s="88"/>
      <c r="B497" s="88"/>
    </row>
    <row r="498" spans="1:2" ht="15.75" thickBot="1" x14ac:dyDescent="0.25">
      <c r="A498" s="88"/>
      <c r="B498" s="88"/>
    </row>
    <row r="499" spans="1:2" ht="15.75" thickBot="1" x14ac:dyDescent="0.25">
      <c r="A499" s="88"/>
      <c r="B499" s="88"/>
    </row>
    <row r="500" spans="1:2" ht="15.75" thickBot="1" x14ac:dyDescent="0.25">
      <c r="A500" s="88"/>
      <c r="B500" s="88"/>
    </row>
    <row r="501" spans="1:2" ht="15.75" thickBot="1" x14ac:dyDescent="0.25">
      <c r="A501" s="88"/>
      <c r="B501" s="88"/>
    </row>
    <row r="502" spans="1:2" ht="15.75" thickBot="1" x14ac:dyDescent="0.25">
      <c r="A502" s="88"/>
      <c r="B502" s="88"/>
    </row>
    <row r="503" spans="1:2" ht="15.75" thickBot="1" x14ac:dyDescent="0.25">
      <c r="A503" s="88"/>
      <c r="B503" s="88"/>
    </row>
    <row r="504" spans="1:2" ht="15.75" thickBot="1" x14ac:dyDescent="0.25">
      <c r="A504" s="88"/>
      <c r="B504" s="88"/>
    </row>
    <row r="505" spans="1:2" ht="15.75" thickBot="1" x14ac:dyDescent="0.25">
      <c r="A505" s="88"/>
      <c r="B505" s="88"/>
    </row>
    <row r="506" spans="1:2" ht="15.75" thickBot="1" x14ac:dyDescent="0.25">
      <c r="A506" s="88"/>
      <c r="B506" s="88"/>
    </row>
    <row r="507" spans="1:2" ht="15.75" thickBot="1" x14ac:dyDescent="0.25">
      <c r="A507" s="88"/>
      <c r="B507" s="88"/>
    </row>
    <row r="508" spans="1:2" ht="15.75" thickBot="1" x14ac:dyDescent="0.25">
      <c r="A508" s="88"/>
      <c r="B508" s="88"/>
    </row>
    <row r="509" spans="1:2" ht="15.75" thickBot="1" x14ac:dyDescent="0.25">
      <c r="A509" s="88"/>
      <c r="B509" s="88"/>
    </row>
    <row r="510" spans="1:2" ht="15.75" thickBot="1" x14ac:dyDescent="0.25">
      <c r="A510" s="88"/>
      <c r="B510" s="88"/>
    </row>
    <row r="511" spans="1:2" ht="15.75" thickBot="1" x14ac:dyDescent="0.25">
      <c r="A511" s="88"/>
      <c r="B511" s="88"/>
    </row>
    <row r="512" spans="1:2" ht="15.75" thickBot="1" x14ac:dyDescent="0.25">
      <c r="A512" s="88"/>
      <c r="B512" s="88"/>
    </row>
    <row r="513" spans="1:2" ht="15.75" thickBot="1" x14ac:dyDescent="0.25">
      <c r="A513" s="88"/>
      <c r="B513" s="88"/>
    </row>
    <row r="514" spans="1:2" ht="15.75" thickBot="1" x14ac:dyDescent="0.25">
      <c r="A514" s="88"/>
      <c r="B514" s="88"/>
    </row>
    <row r="515" spans="1:2" ht="15.75" thickBot="1" x14ac:dyDescent="0.25">
      <c r="A515" s="88"/>
      <c r="B515" s="88"/>
    </row>
    <row r="516" spans="1:2" ht="15.75" thickBot="1" x14ac:dyDescent="0.25">
      <c r="A516" s="88"/>
      <c r="B516" s="88"/>
    </row>
    <row r="517" spans="1:2" ht="15.75" thickBot="1" x14ac:dyDescent="0.25">
      <c r="A517" s="88"/>
      <c r="B517" s="88"/>
    </row>
    <row r="518" spans="1:2" ht="15.75" thickBot="1" x14ac:dyDescent="0.25">
      <c r="A518" s="88"/>
      <c r="B518" s="88"/>
    </row>
    <row r="519" spans="1:2" ht="15.75" thickBot="1" x14ac:dyDescent="0.25">
      <c r="A519" s="88"/>
      <c r="B519" s="88"/>
    </row>
    <row r="520" spans="1:2" ht="15.75" thickBot="1" x14ac:dyDescent="0.25">
      <c r="A520" s="88"/>
      <c r="B520" s="88"/>
    </row>
    <row r="521" spans="1:2" ht="15.75" thickBot="1" x14ac:dyDescent="0.25">
      <c r="A521" s="88"/>
      <c r="B521" s="88"/>
    </row>
    <row r="522" spans="1:2" ht="15.75" thickBot="1" x14ac:dyDescent="0.25">
      <c r="A522" s="88"/>
      <c r="B522" s="88"/>
    </row>
    <row r="523" spans="1:2" ht="15.75" thickBot="1" x14ac:dyDescent="0.25">
      <c r="A523" s="88"/>
      <c r="B523" s="88"/>
    </row>
    <row r="524" spans="1:2" ht="15.75" thickBot="1" x14ac:dyDescent="0.25">
      <c r="A524" s="88"/>
      <c r="B524" s="88"/>
    </row>
    <row r="525" spans="1:2" ht="15.75" thickBot="1" x14ac:dyDescent="0.25">
      <c r="A525" s="88"/>
      <c r="B525" s="88"/>
    </row>
    <row r="526" spans="1:2" ht="15.75" thickBot="1" x14ac:dyDescent="0.25">
      <c r="A526" s="88"/>
      <c r="B526" s="88"/>
    </row>
    <row r="527" spans="1:2" ht="15.75" thickBot="1" x14ac:dyDescent="0.25">
      <c r="A527" s="88"/>
      <c r="B527" s="88"/>
    </row>
    <row r="528" spans="1:2" ht="15.75" thickBot="1" x14ac:dyDescent="0.25">
      <c r="A528" s="88"/>
      <c r="B528" s="88"/>
    </row>
    <row r="529" spans="1:2" ht="15.75" thickBot="1" x14ac:dyDescent="0.25">
      <c r="A529" s="88"/>
      <c r="B529" s="88"/>
    </row>
    <row r="530" spans="1:2" ht="15.75" thickBot="1" x14ac:dyDescent="0.25">
      <c r="A530" s="88"/>
      <c r="B530" s="88"/>
    </row>
    <row r="531" spans="1:2" ht="15.75" thickBot="1" x14ac:dyDescent="0.25">
      <c r="A531" s="88"/>
      <c r="B531" s="88"/>
    </row>
    <row r="532" spans="1:2" ht="15.75" thickBot="1" x14ac:dyDescent="0.25">
      <c r="A532" s="88"/>
      <c r="B532" s="88"/>
    </row>
    <row r="533" spans="1:2" ht="15.75" thickBot="1" x14ac:dyDescent="0.25">
      <c r="A533" s="88"/>
      <c r="B533" s="88"/>
    </row>
    <row r="534" spans="1:2" ht="15.75" thickBot="1" x14ac:dyDescent="0.25">
      <c r="A534" s="88"/>
      <c r="B534" s="88"/>
    </row>
    <row r="535" spans="1:2" ht="15.75" thickBot="1" x14ac:dyDescent="0.25">
      <c r="A535" s="88"/>
      <c r="B535" s="88"/>
    </row>
    <row r="536" spans="1:2" ht="15.75" thickBot="1" x14ac:dyDescent="0.25">
      <c r="A536" s="88"/>
      <c r="B536" s="88"/>
    </row>
    <row r="537" spans="1:2" ht="15.75" thickBot="1" x14ac:dyDescent="0.25">
      <c r="A537" s="88"/>
      <c r="B537" s="88"/>
    </row>
    <row r="538" spans="1:2" ht="15.75" thickBot="1" x14ac:dyDescent="0.25">
      <c r="A538" s="88"/>
      <c r="B538" s="88"/>
    </row>
    <row r="539" spans="1:2" ht="15.75" thickBot="1" x14ac:dyDescent="0.25">
      <c r="A539" s="88"/>
      <c r="B539" s="88"/>
    </row>
    <row r="540" spans="1:2" ht="15.75" thickBot="1" x14ac:dyDescent="0.25">
      <c r="A540" s="88"/>
      <c r="B540" s="88"/>
    </row>
    <row r="541" spans="1:2" ht="15.75" thickBot="1" x14ac:dyDescent="0.25">
      <c r="A541" s="88"/>
      <c r="B541" s="88"/>
    </row>
    <row r="542" spans="1:2" ht="15.75" thickBot="1" x14ac:dyDescent="0.25">
      <c r="A542" s="88"/>
      <c r="B542" s="88"/>
    </row>
    <row r="543" spans="1:2" ht="15.75" thickBot="1" x14ac:dyDescent="0.25">
      <c r="A543" s="88"/>
      <c r="B543" s="88"/>
    </row>
    <row r="544" spans="1:2" ht="15.75" thickBot="1" x14ac:dyDescent="0.25">
      <c r="A544" s="88"/>
      <c r="B544" s="88"/>
    </row>
    <row r="545" spans="1:2" ht="15.75" thickBot="1" x14ac:dyDescent="0.25">
      <c r="A545" s="88"/>
      <c r="B545" s="88"/>
    </row>
    <row r="546" spans="1:2" ht="15.75" thickBot="1" x14ac:dyDescent="0.25">
      <c r="A546" s="88"/>
      <c r="B546" s="88"/>
    </row>
    <row r="547" spans="1:2" ht="15.75" thickBot="1" x14ac:dyDescent="0.25">
      <c r="A547" s="88"/>
      <c r="B547" s="88"/>
    </row>
    <row r="548" spans="1:2" ht="15.75" thickBot="1" x14ac:dyDescent="0.25">
      <c r="A548" s="88"/>
      <c r="B548" s="88"/>
    </row>
    <row r="549" spans="1:2" ht="15.75" thickBot="1" x14ac:dyDescent="0.25">
      <c r="A549" s="88"/>
      <c r="B549" s="88"/>
    </row>
    <row r="550" spans="1:2" ht="15.75" thickBot="1" x14ac:dyDescent="0.25">
      <c r="A550" s="88"/>
      <c r="B550" s="88"/>
    </row>
    <row r="551" spans="1:2" ht="15.75" thickBot="1" x14ac:dyDescent="0.25">
      <c r="A551" s="88"/>
      <c r="B551" s="88"/>
    </row>
    <row r="552" spans="1:2" ht="15.75" thickBot="1" x14ac:dyDescent="0.25">
      <c r="A552" s="88"/>
      <c r="B552" s="88"/>
    </row>
    <row r="553" spans="1:2" ht="15.75" thickBot="1" x14ac:dyDescent="0.25">
      <c r="A553" s="88"/>
      <c r="B553" s="88"/>
    </row>
    <row r="554" spans="1:2" ht="15.75" thickBot="1" x14ac:dyDescent="0.25">
      <c r="A554" s="88"/>
      <c r="B554" s="88"/>
    </row>
    <row r="555" spans="1:2" ht="15.75" thickBot="1" x14ac:dyDescent="0.25">
      <c r="A555" s="88"/>
      <c r="B555" s="88"/>
    </row>
    <row r="556" spans="1:2" ht="15.75" thickBot="1" x14ac:dyDescent="0.25">
      <c r="A556" s="88"/>
      <c r="B556" s="88"/>
    </row>
    <row r="557" spans="1:2" ht="15.75" thickBot="1" x14ac:dyDescent="0.25">
      <c r="A557" s="88"/>
      <c r="B557" s="88"/>
    </row>
    <row r="558" spans="1:2" ht="15.75" thickBot="1" x14ac:dyDescent="0.25">
      <c r="A558" s="88"/>
      <c r="B558" s="88"/>
    </row>
    <row r="559" spans="1:2" ht="15.75" thickBot="1" x14ac:dyDescent="0.25">
      <c r="A559" s="88"/>
      <c r="B559" s="88"/>
    </row>
    <row r="560" spans="1:2" ht="15.75" thickBot="1" x14ac:dyDescent="0.25">
      <c r="A560" s="88"/>
      <c r="B560" s="88"/>
    </row>
    <row r="561" spans="1:2" ht="15.75" thickBot="1" x14ac:dyDescent="0.25">
      <c r="A561" s="88"/>
      <c r="B561" s="88"/>
    </row>
    <row r="562" spans="1:2" ht="15.75" thickBot="1" x14ac:dyDescent="0.25">
      <c r="A562" s="88"/>
      <c r="B562" s="88"/>
    </row>
    <row r="563" spans="1:2" ht="15.75" thickBot="1" x14ac:dyDescent="0.25">
      <c r="A563" s="88"/>
      <c r="B563" s="88"/>
    </row>
    <row r="564" spans="1:2" ht="15.75" thickBot="1" x14ac:dyDescent="0.25">
      <c r="A564" s="88"/>
      <c r="B564" s="88"/>
    </row>
    <row r="565" spans="1:2" ht="15.75" thickBot="1" x14ac:dyDescent="0.25">
      <c r="A565" s="88"/>
      <c r="B565" s="88"/>
    </row>
    <row r="566" spans="1:2" ht="15.75" thickBot="1" x14ac:dyDescent="0.25">
      <c r="A566" s="88"/>
      <c r="B566" s="88"/>
    </row>
    <row r="567" spans="1:2" ht="15.75" thickBot="1" x14ac:dyDescent="0.25">
      <c r="A567" s="88"/>
      <c r="B567" s="88"/>
    </row>
    <row r="568" spans="1:2" ht="15.75" thickBot="1" x14ac:dyDescent="0.25">
      <c r="A568" s="88"/>
      <c r="B568" s="88"/>
    </row>
    <row r="569" spans="1:2" ht="15.75" thickBot="1" x14ac:dyDescent="0.25">
      <c r="A569" s="88"/>
      <c r="B569" s="88"/>
    </row>
    <row r="570" spans="1:2" ht="15.75" thickBot="1" x14ac:dyDescent="0.25">
      <c r="A570" s="88"/>
      <c r="B570" s="88"/>
    </row>
    <row r="571" spans="1:2" ht="15.75" thickBot="1" x14ac:dyDescent="0.25">
      <c r="A571" s="88"/>
      <c r="B571" s="88"/>
    </row>
    <row r="572" spans="1:2" ht="15.75" thickBot="1" x14ac:dyDescent="0.25">
      <c r="A572" s="88"/>
      <c r="B572" s="88"/>
    </row>
    <row r="573" spans="1:2" ht="15.75" thickBot="1" x14ac:dyDescent="0.25">
      <c r="A573" s="88"/>
      <c r="B573" s="88"/>
    </row>
    <row r="574" spans="1:2" ht="15.75" thickBot="1" x14ac:dyDescent="0.25">
      <c r="A574" s="88"/>
      <c r="B574" s="88"/>
    </row>
    <row r="575" spans="1:2" ht="15.75" thickBot="1" x14ac:dyDescent="0.25">
      <c r="A575" s="88"/>
      <c r="B575" s="88"/>
    </row>
    <row r="576" spans="1:2" ht="15.75" thickBot="1" x14ac:dyDescent="0.25">
      <c r="A576" s="88"/>
      <c r="B576" s="88"/>
    </row>
    <row r="577" spans="1:2" ht="15.75" thickBot="1" x14ac:dyDescent="0.25">
      <c r="A577" s="88"/>
      <c r="B577" s="88"/>
    </row>
    <row r="578" spans="1:2" ht="15.75" thickBot="1" x14ac:dyDescent="0.25">
      <c r="A578" s="88"/>
      <c r="B578" s="88"/>
    </row>
    <row r="579" spans="1:2" ht="15.75" thickBot="1" x14ac:dyDescent="0.25">
      <c r="A579" s="88"/>
      <c r="B579" s="88"/>
    </row>
    <row r="580" spans="1:2" ht="15.75" thickBot="1" x14ac:dyDescent="0.25">
      <c r="A580" s="88"/>
      <c r="B580" s="88"/>
    </row>
    <row r="581" spans="1:2" ht="15.75" thickBot="1" x14ac:dyDescent="0.25">
      <c r="A581" s="88"/>
      <c r="B581" s="88"/>
    </row>
    <row r="582" spans="1:2" ht="15.75" thickBot="1" x14ac:dyDescent="0.25">
      <c r="A582" s="88"/>
      <c r="B582" s="88"/>
    </row>
    <row r="583" spans="1:2" ht="15.75" thickBot="1" x14ac:dyDescent="0.25">
      <c r="A583" s="88"/>
      <c r="B583" s="88"/>
    </row>
    <row r="584" spans="1:2" ht="15.75" thickBot="1" x14ac:dyDescent="0.25">
      <c r="A584" s="88"/>
      <c r="B584" s="88"/>
    </row>
    <row r="585" spans="1:2" ht="15.75" thickBot="1" x14ac:dyDescent="0.25">
      <c r="A585" s="88"/>
      <c r="B585" s="88"/>
    </row>
    <row r="586" spans="1:2" ht="15.75" thickBot="1" x14ac:dyDescent="0.25">
      <c r="A586" s="88"/>
      <c r="B586" s="88"/>
    </row>
    <row r="587" spans="1:2" ht="15.75" thickBot="1" x14ac:dyDescent="0.25">
      <c r="A587" s="88"/>
      <c r="B587" s="88"/>
    </row>
    <row r="588" spans="1:2" ht="15.75" thickBot="1" x14ac:dyDescent="0.25">
      <c r="A588" s="88"/>
      <c r="B588" s="88"/>
    </row>
    <row r="589" spans="1:2" ht="15.75" thickBot="1" x14ac:dyDescent="0.25">
      <c r="A589" s="88"/>
      <c r="B589" s="88"/>
    </row>
    <row r="590" spans="1:2" ht="15.75" thickBot="1" x14ac:dyDescent="0.25">
      <c r="A590" s="88"/>
      <c r="B590" s="88"/>
    </row>
    <row r="591" spans="1:2" ht="15.75" thickBot="1" x14ac:dyDescent="0.25">
      <c r="A591" s="88"/>
      <c r="B591" s="88"/>
    </row>
    <row r="592" spans="1:2" ht="15.75" thickBot="1" x14ac:dyDescent="0.25">
      <c r="A592" s="88"/>
      <c r="B592" s="88"/>
    </row>
    <row r="593" spans="1:2" ht="15.75" thickBot="1" x14ac:dyDescent="0.25">
      <c r="A593" s="88"/>
      <c r="B593" s="88"/>
    </row>
    <row r="594" spans="1:2" ht="15.75" thickBot="1" x14ac:dyDescent="0.25">
      <c r="A594" s="88"/>
      <c r="B594" s="88"/>
    </row>
    <row r="595" spans="1:2" ht="15.75" thickBot="1" x14ac:dyDescent="0.25">
      <c r="A595" s="88"/>
      <c r="B595" s="88"/>
    </row>
    <row r="596" spans="1:2" ht="15.75" thickBot="1" x14ac:dyDescent="0.25">
      <c r="A596" s="88"/>
      <c r="B596" s="88"/>
    </row>
    <row r="597" spans="1:2" ht="15.75" thickBot="1" x14ac:dyDescent="0.25">
      <c r="A597" s="88"/>
      <c r="B597" s="88"/>
    </row>
    <row r="598" spans="1:2" ht="15.75" thickBot="1" x14ac:dyDescent="0.25">
      <c r="A598" s="88"/>
      <c r="B598" s="88"/>
    </row>
    <row r="599" spans="1:2" ht="15.75" thickBot="1" x14ac:dyDescent="0.25">
      <c r="A599" s="88"/>
      <c r="B599" s="88"/>
    </row>
    <row r="600" spans="1:2" ht="15.75" thickBot="1" x14ac:dyDescent="0.25">
      <c r="A600" s="88"/>
      <c r="B600" s="88"/>
    </row>
    <row r="601" spans="1:2" ht="15.75" thickBot="1" x14ac:dyDescent="0.25">
      <c r="A601" s="88"/>
      <c r="B601" s="88"/>
    </row>
    <row r="602" spans="1:2" ht="15.75" thickBot="1" x14ac:dyDescent="0.25">
      <c r="A602" s="88"/>
      <c r="B602" s="88"/>
    </row>
    <row r="603" spans="1:2" ht="15.75" thickBot="1" x14ac:dyDescent="0.25">
      <c r="A603" s="88"/>
      <c r="B603" s="88"/>
    </row>
    <row r="604" spans="1:2" ht="15.75" thickBot="1" x14ac:dyDescent="0.25">
      <c r="A604" s="88"/>
      <c r="B604" s="88"/>
    </row>
    <row r="605" spans="1:2" ht="15.75" thickBot="1" x14ac:dyDescent="0.25">
      <c r="A605" s="88"/>
      <c r="B605" s="88"/>
    </row>
    <row r="606" spans="1:2" ht="15.75" thickBot="1" x14ac:dyDescent="0.25">
      <c r="A606" s="88"/>
      <c r="B606" s="88"/>
    </row>
    <row r="607" spans="1:2" ht="15.75" thickBot="1" x14ac:dyDescent="0.25">
      <c r="A607" s="88"/>
      <c r="B607" s="88"/>
    </row>
    <row r="608" spans="1:2" ht="15.75" thickBot="1" x14ac:dyDescent="0.25">
      <c r="A608" s="88"/>
      <c r="B608" s="88"/>
    </row>
    <row r="609" spans="1:2" ht="15.75" thickBot="1" x14ac:dyDescent="0.25">
      <c r="A609" s="88"/>
      <c r="B609" s="88"/>
    </row>
    <row r="610" spans="1:2" ht="15.75" thickBot="1" x14ac:dyDescent="0.25">
      <c r="A610" s="88"/>
      <c r="B610" s="88"/>
    </row>
    <row r="611" spans="1:2" ht="15.75" thickBot="1" x14ac:dyDescent="0.25">
      <c r="A611" s="88"/>
      <c r="B611" s="88"/>
    </row>
    <row r="612" spans="1:2" ht="15.75" thickBot="1" x14ac:dyDescent="0.25">
      <c r="A612" s="88"/>
      <c r="B612" s="88"/>
    </row>
    <row r="613" spans="1:2" ht="15.75" thickBot="1" x14ac:dyDescent="0.25">
      <c r="A613" s="88"/>
      <c r="B613" s="88"/>
    </row>
    <row r="614" spans="1:2" ht="15.75" thickBot="1" x14ac:dyDescent="0.25">
      <c r="A614" s="88"/>
      <c r="B614" s="88"/>
    </row>
    <row r="615" spans="1:2" ht="15.75" thickBot="1" x14ac:dyDescent="0.25">
      <c r="A615" s="88"/>
      <c r="B615" s="88"/>
    </row>
    <row r="616" spans="1:2" ht="15.75" thickBot="1" x14ac:dyDescent="0.25">
      <c r="A616" s="88"/>
      <c r="B616" s="88"/>
    </row>
    <row r="617" spans="1:2" ht="15.75" thickBot="1" x14ac:dyDescent="0.25">
      <c r="A617" s="88"/>
      <c r="B617" s="88"/>
    </row>
    <row r="618" spans="1:2" ht="15.75" thickBot="1" x14ac:dyDescent="0.25">
      <c r="A618" s="88"/>
      <c r="B618" s="88"/>
    </row>
    <row r="619" spans="1:2" ht="15.75" thickBot="1" x14ac:dyDescent="0.25">
      <c r="A619" s="88"/>
      <c r="B619" s="88"/>
    </row>
    <row r="620" spans="1:2" ht="15.75" thickBot="1" x14ac:dyDescent="0.25">
      <c r="A620" s="88"/>
      <c r="B620" s="88"/>
    </row>
    <row r="621" spans="1:2" ht="15.75" thickBot="1" x14ac:dyDescent="0.25">
      <c r="A621" s="88"/>
      <c r="B621" s="88"/>
    </row>
    <row r="622" spans="1:2" ht="15.75" thickBot="1" x14ac:dyDescent="0.25">
      <c r="A622" s="88"/>
      <c r="B622" s="88"/>
    </row>
    <row r="623" spans="1:2" ht="15.75" thickBot="1" x14ac:dyDescent="0.25">
      <c r="A623" s="88"/>
      <c r="B623" s="88"/>
    </row>
    <row r="624" spans="1:2" ht="15.75" thickBot="1" x14ac:dyDescent="0.25">
      <c r="A624" s="88"/>
      <c r="B624" s="88"/>
    </row>
    <row r="625" spans="1:2" ht="15.75" thickBot="1" x14ac:dyDescent="0.25">
      <c r="A625" s="88"/>
      <c r="B625" s="88"/>
    </row>
    <row r="626" spans="1:2" ht="15.75" thickBot="1" x14ac:dyDescent="0.25">
      <c r="A626" s="88"/>
      <c r="B626" s="88"/>
    </row>
    <row r="627" spans="1:2" ht="15.75" thickBot="1" x14ac:dyDescent="0.25">
      <c r="A627" s="88"/>
      <c r="B627" s="88"/>
    </row>
    <row r="628" spans="1:2" ht="15.75" thickBot="1" x14ac:dyDescent="0.25">
      <c r="A628" s="88"/>
      <c r="B628" s="88"/>
    </row>
    <row r="629" spans="1:2" ht="15.75" thickBot="1" x14ac:dyDescent="0.25">
      <c r="A629" s="88"/>
      <c r="B629" s="88"/>
    </row>
    <row r="630" spans="1:2" ht="15.75" thickBot="1" x14ac:dyDescent="0.25">
      <c r="A630" s="88"/>
      <c r="B630" s="88"/>
    </row>
    <row r="631" spans="1:2" ht="15.75" thickBot="1" x14ac:dyDescent="0.25">
      <c r="A631" s="88"/>
      <c r="B631" s="88"/>
    </row>
    <row r="632" spans="1:2" ht="15.75" thickBot="1" x14ac:dyDescent="0.25">
      <c r="A632" s="88"/>
      <c r="B632" s="88"/>
    </row>
    <row r="633" spans="1:2" ht="15.75" thickBot="1" x14ac:dyDescent="0.25">
      <c r="A633" s="88"/>
      <c r="B633" s="88"/>
    </row>
    <row r="634" spans="1:2" ht="15.75" thickBot="1" x14ac:dyDescent="0.25">
      <c r="A634" s="88"/>
      <c r="B634" s="88"/>
    </row>
    <row r="635" spans="1:2" ht="15.75" thickBot="1" x14ac:dyDescent="0.25">
      <c r="A635" s="88"/>
      <c r="B635" s="88"/>
    </row>
    <row r="636" spans="1:2" ht="15.75" thickBot="1" x14ac:dyDescent="0.25">
      <c r="A636" s="88"/>
      <c r="B636" s="88"/>
    </row>
    <row r="637" spans="1:2" ht="15.75" thickBot="1" x14ac:dyDescent="0.25">
      <c r="A637" s="88"/>
      <c r="B637" s="88"/>
    </row>
    <row r="638" spans="1:2" ht="15.75" thickBot="1" x14ac:dyDescent="0.25">
      <c r="A638" s="88"/>
      <c r="B638" s="88"/>
    </row>
    <row r="639" spans="1:2" ht="15.75" thickBot="1" x14ac:dyDescent="0.25">
      <c r="A639" s="88"/>
      <c r="B639" s="88"/>
    </row>
    <row r="640" spans="1:2" ht="15.75" thickBot="1" x14ac:dyDescent="0.25">
      <c r="A640" s="88"/>
      <c r="B640" s="88"/>
    </row>
    <row r="641" spans="1:2" ht="15.75" thickBot="1" x14ac:dyDescent="0.25">
      <c r="A641" s="88"/>
      <c r="B641" s="88"/>
    </row>
    <row r="642" spans="1:2" ht="15.75" thickBot="1" x14ac:dyDescent="0.25">
      <c r="A642" s="88"/>
      <c r="B642" s="88"/>
    </row>
    <row r="643" spans="1:2" ht="15.75" thickBot="1" x14ac:dyDescent="0.25">
      <c r="A643" s="88"/>
      <c r="B643" s="88"/>
    </row>
    <row r="644" spans="1:2" ht="15.75" thickBot="1" x14ac:dyDescent="0.25">
      <c r="A644" s="88"/>
      <c r="B644" s="88"/>
    </row>
    <row r="645" spans="1:2" ht="15.75" thickBot="1" x14ac:dyDescent="0.25">
      <c r="A645" s="88"/>
      <c r="B645" s="88"/>
    </row>
    <row r="646" spans="1:2" ht="15.75" thickBot="1" x14ac:dyDescent="0.25">
      <c r="A646" s="88"/>
      <c r="B646" s="88"/>
    </row>
    <row r="647" spans="1:2" ht="15.75" thickBot="1" x14ac:dyDescent="0.25">
      <c r="A647" s="88"/>
      <c r="B647" s="88"/>
    </row>
    <row r="648" spans="1:2" ht="15.75" thickBot="1" x14ac:dyDescent="0.25">
      <c r="A648" s="88"/>
      <c r="B648" s="88"/>
    </row>
    <row r="649" spans="1:2" ht="15.75" thickBot="1" x14ac:dyDescent="0.25">
      <c r="A649" s="88"/>
      <c r="B649" s="88"/>
    </row>
    <row r="650" spans="1:2" ht="15.75" thickBot="1" x14ac:dyDescent="0.25">
      <c r="A650" s="88"/>
      <c r="B650" s="88"/>
    </row>
    <row r="651" spans="1:2" ht="15.75" thickBot="1" x14ac:dyDescent="0.25">
      <c r="A651" s="88"/>
      <c r="B651" s="88"/>
    </row>
    <row r="652" spans="1:2" ht="15.75" thickBot="1" x14ac:dyDescent="0.25">
      <c r="A652" s="88"/>
      <c r="B652" s="88"/>
    </row>
    <row r="653" spans="1:2" ht="15.75" thickBot="1" x14ac:dyDescent="0.25">
      <c r="A653" s="88"/>
      <c r="B653" s="88"/>
    </row>
    <row r="654" spans="1:2" ht="15.75" thickBot="1" x14ac:dyDescent="0.25">
      <c r="A654" s="88"/>
      <c r="B654" s="88"/>
    </row>
    <row r="655" spans="1:2" ht="15.75" thickBot="1" x14ac:dyDescent="0.25">
      <c r="A655" s="88"/>
      <c r="B655" s="88"/>
    </row>
    <row r="656" spans="1:2" ht="15.75" thickBot="1" x14ac:dyDescent="0.25">
      <c r="A656" s="88"/>
      <c r="B656" s="88"/>
    </row>
    <row r="657" spans="1:2" ht="15.75" thickBot="1" x14ac:dyDescent="0.25">
      <c r="A657" s="88"/>
      <c r="B657" s="88"/>
    </row>
    <row r="658" spans="1:2" ht="15.75" thickBot="1" x14ac:dyDescent="0.25">
      <c r="A658" s="88"/>
      <c r="B658" s="88"/>
    </row>
    <row r="659" spans="1:2" ht="15.75" thickBot="1" x14ac:dyDescent="0.25">
      <c r="A659" s="88"/>
      <c r="B659" s="88"/>
    </row>
    <row r="660" spans="1:2" ht="15.75" thickBot="1" x14ac:dyDescent="0.25">
      <c r="A660" s="88"/>
      <c r="B660" s="88"/>
    </row>
    <row r="661" spans="1:2" ht="15.75" thickBot="1" x14ac:dyDescent="0.25">
      <c r="A661" s="88"/>
      <c r="B661" s="88"/>
    </row>
    <row r="662" spans="1:2" ht="15.75" thickBot="1" x14ac:dyDescent="0.25">
      <c r="A662" s="88"/>
      <c r="B662" s="88"/>
    </row>
    <row r="663" spans="1:2" ht="15.75" thickBot="1" x14ac:dyDescent="0.25">
      <c r="A663" s="88"/>
      <c r="B663" s="88"/>
    </row>
    <row r="664" spans="1:2" ht="15.75" thickBot="1" x14ac:dyDescent="0.25">
      <c r="A664" s="88"/>
      <c r="B664" s="88"/>
    </row>
    <row r="665" spans="1:2" ht="15.75" thickBot="1" x14ac:dyDescent="0.25">
      <c r="A665" s="88"/>
      <c r="B665" s="88"/>
    </row>
    <row r="666" spans="1:2" ht="15.75" thickBot="1" x14ac:dyDescent="0.25">
      <c r="A666" s="88"/>
      <c r="B666" s="88"/>
    </row>
    <row r="667" spans="1:2" ht="15.75" thickBot="1" x14ac:dyDescent="0.25">
      <c r="A667" s="88"/>
      <c r="B667" s="88"/>
    </row>
    <row r="668" spans="1:2" ht="15.75" thickBot="1" x14ac:dyDescent="0.25">
      <c r="A668" s="88"/>
      <c r="B668" s="88"/>
    </row>
    <row r="669" spans="1:2" ht="15.75" thickBot="1" x14ac:dyDescent="0.25">
      <c r="A669" s="88"/>
      <c r="B669" s="88"/>
    </row>
    <row r="670" spans="1:2" ht="15.75" thickBot="1" x14ac:dyDescent="0.25">
      <c r="A670" s="88"/>
      <c r="B670" s="88"/>
    </row>
    <row r="671" spans="1:2" ht="15.75" thickBot="1" x14ac:dyDescent="0.25">
      <c r="A671" s="88"/>
      <c r="B671" s="88"/>
    </row>
    <row r="672" spans="1:2" ht="15.75" thickBot="1" x14ac:dyDescent="0.25">
      <c r="A672" s="88"/>
      <c r="B672" s="88"/>
    </row>
    <row r="673" spans="1:2" ht="15.75" thickBot="1" x14ac:dyDescent="0.25">
      <c r="A673" s="88"/>
      <c r="B673" s="88"/>
    </row>
    <row r="674" spans="1:2" ht="15.75" thickBot="1" x14ac:dyDescent="0.25">
      <c r="A674" s="88"/>
      <c r="B674" s="88"/>
    </row>
    <row r="675" spans="1:2" ht="15.75" thickBot="1" x14ac:dyDescent="0.25">
      <c r="A675" s="88"/>
      <c r="B675" s="88"/>
    </row>
    <row r="676" spans="1:2" ht="15.75" thickBot="1" x14ac:dyDescent="0.25">
      <c r="A676" s="88"/>
      <c r="B676" s="88"/>
    </row>
    <row r="677" spans="1:2" ht="15.75" thickBot="1" x14ac:dyDescent="0.25">
      <c r="A677" s="88"/>
      <c r="B677" s="88"/>
    </row>
    <row r="678" spans="1:2" ht="15.75" thickBot="1" x14ac:dyDescent="0.25">
      <c r="A678" s="88"/>
      <c r="B678" s="88"/>
    </row>
    <row r="679" spans="1:2" ht="15.75" thickBot="1" x14ac:dyDescent="0.25">
      <c r="A679" s="88"/>
      <c r="B679" s="88"/>
    </row>
    <row r="680" spans="1:2" ht="15.75" thickBot="1" x14ac:dyDescent="0.25">
      <c r="A680" s="88"/>
      <c r="B680" s="88"/>
    </row>
    <row r="681" spans="1:2" ht="15.75" thickBot="1" x14ac:dyDescent="0.25">
      <c r="A681" s="88"/>
      <c r="B681" s="88"/>
    </row>
    <row r="682" spans="1:2" ht="15.75" thickBot="1" x14ac:dyDescent="0.25">
      <c r="A682" s="88"/>
      <c r="B682" s="88"/>
    </row>
    <row r="683" spans="1:2" ht="15.75" thickBot="1" x14ac:dyDescent="0.25">
      <c r="A683" s="88"/>
      <c r="B683" s="88"/>
    </row>
    <row r="684" spans="1:2" ht="15.75" thickBot="1" x14ac:dyDescent="0.25">
      <c r="A684" s="88"/>
      <c r="B684" s="88"/>
    </row>
    <row r="685" spans="1:2" ht="15.75" thickBot="1" x14ac:dyDescent="0.25">
      <c r="A685" s="88"/>
      <c r="B685" s="88"/>
    </row>
    <row r="686" spans="1:2" ht="15.75" thickBot="1" x14ac:dyDescent="0.25">
      <c r="A686" s="88"/>
      <c r="B686" s="88"/>
    </row>
    <row r="687" spans="1:2" ht="15.75" thickBot="1" x14ac:dyDescent="0.25">
      <c r="A687" s="88"/>
      <c r="B687" s="88"/>
    </row>
    <row r="688" spans="1:2" ht="15.75" thickBot="1" x14ac:dyDescent="0.25">
      <c r="A688" s="88"/>
      <c r="B688" s="88"/>
    </row>
    <row r="689" spans="1:2" ht="15.75" thickBot="1" x14ac:dyDescent="0.25">
      <c r="A689" s="88"/>
      <c r="B689" s="88"/>
    </row>
    <row r="690" spans="1:2" ht="15.75" thickBot="1" x14ac:dyDescent="0.25">
      <c r="A690" s="88"/>
      <c r="B690" s="88"/>
    </row>
    <row r="691" spans="1:2" ht="15.75" thickBot="1" x14ac:dyDescent="0.25">
      <c r="A691" s="88"/>
      <c r="B691" s="88"/>
    </row>
    <row r="692" spans="1:2" ht="15.75" thickBot="1" x14ac:dyDescent="0.25">
      <c r="A692" s="88"/>
      <c r="B692" s="88"/>
    </row>
    <row r="693" spans="1:2" ht="15.75" thickBot="1" x14ac:dyDescent="0.25">
      <c r="A693" s="88"/>
      <c r="B693" s="88"/>
    </row>
    <row r="694" spans="1:2" ht="15.75" thickBot="1" x14ac:dyDescent="0.25">
      <c r="A694" s="88"/>
      <c r="B694" s="88"/>
    </row>
    <row r="695" spans="1:2" ht="15.75" thickBot="1" x14ac:dyDescent="0.25">
      <c r="A695" s="88"/>
      <c r="B695" s="88"/>
    </row>
    <row r="696" spans="1:2" ht="15.75" thickBot="1" x14ac:dyDescent="0.25">
      <c r="A696" s="88"/>
      <c r="B696" s="88"/>
    </row>
    <row r="697" spans="1:2" ht="15.75" thickBot="1" x14ac:dyDescent="0.25">
      <c r="A697" s="88"/>
      <c r="B697" s="88"/>
    </row>
    <row r="698" spans="1:2" ht="15.75" thickBot="1" x14ac:dyDescent="0.25">
      <c r="A698" s="88"/>
      <c r="B698" s="88"/>
    </row>
    <row r="699" spans="1:2" ht="15.75" thickBot="1" x14ac:dyDescent="0.25">
      <c r="A699" s="88"/>
      <c r="B699" s="88"/>
    </row>
    <row r="700" spans="1:2" ht="15.75" thickBot="1" x14ac:dyDescent="0.25">
      <c r="A700" s="88"/>
      <c r="B700" s="88"/>
    </row>
    <row r="701" spans="1:2" ht="15.75" thickBot="1" x14ac:dyDescent="0.25">
      <c r="A701" s="88"/>
      <c r="B701" s="88"/>
    </row>
    <row r="702" spans="1:2" ht="15.75" thickBot="1" x14ac:dyDescent="0.25">
      <c r="A702" s="88"/>
      <c r="B702" s="88"/>
    </row>
    <row r="703" spans="1:2" ht="15.75" thickBot="1" x14ac:dyDescent="0.25">
      <c r="A703" s="88"/>
      <c r="B703" s="88"/>
    </row>
    <row r="704" spans="1:2" ht="15.75" thickBot="1" x14ac:dyDescent="0.25">
      <c r="A704" s="88"/>
      <c r="B704" s="88"/>
    </row>
    <row r="705" spans="1:2" ht="15.75" thickBot="1" x14ac:dyDescent="0.25">
      <c r="A705" s="88"/>
      <c r="B705" s="88"/>
    </row>
    <row r="706" spans="1:2" ht="15.75" thickBot="1" x14ac:dyDescent="0.25">
      <c r="A706" s="88"/>
      <c r="B706" s="88"/>
    </row>
    <row r="707" spans="1:2" ht="15.75" thickBot="1" x14ac:dyDescent="0.25">
      <c r="A707" s="88"/>
      <c r="B707" s="88"/>
    </row>
    <row r="708" spans="1:2" ht="15.75" thickBot="1" x14ac:dyDescent="0.25">
      <c r="A708" s="88"/>
      <c r="B708" s="88"/>
    </row>
    <row r="709" spans="1:2" ht="15.75" thickBot="1" x14ac:dyDescent="0.25">
      <c r="A709" s="88"/>
      <c r="B709" s="88"/>
    </row>
    <row r="710" spans="1:2" ht="15.75" thickBot="1" x14ac:dyDescent="0.25">
      <c r="A710" s="88"/>
      <c r="B710" s="88"/>
    </row>
    <row r="711" spans="1:2" ht="15.75" thickBot="1" x14ac:dyDescent="0.25">
      <c r="A711" s="88"/>
      <c r="B711" s="88"/>
    </row>
    <row r="712" spans="1:2" ht="15.75" thickBot="1" x14ac:dyDescent="0.25">
      <c r="A712" s="88"/>
      <c r="B712" s="88"/>
    </row>
    <row r="713" spans="1:2" ht="15.75" thickBot="1" x14ac:dyDescent="0.25">
      <c r="A713" s="88"/>
      <c r="B713" s="88"/>
    </row>
    <row r="714" spans="1:2" ht="15.75" thickBot="1" x14ac:dyDescent="0.25">
      <c r="A714" s="88"/>
      <c r="B714" s="88"/>
    </row>
    <row r="715" spans="1:2" ht="15.75" thickBot="1" x14ac:dyDescent="0.25">
      <c r="A715" s="88"/>
      <c r="B715" s="88"/>
    </row>
    <row r="716" spans="1:2" ht="15.75" thickBot="1" x14ac:dyDescent="0.25">
      <c r="A716" s="88"/>
      <c r="B716" s="88"/>
    </row>
    <row r="717" spans="1:2" ht="15.75" thickBot="1" x14ac:dyDescent="0.25">
      <c r="A717" s="88"/>
      <c r="B717" s="88"/>
    </row>
    <row r="718" spans="1:2" ht="15.75" thickBot="1" x14ac:dyDescent="0.25">
      <c r="A718" s="88"/>
      <c r="B718" s="88"/>
    </row>
    <row r="719" spans="1:2" ht="15.75" thickBot="1" x14ac:dyDescent="0.25">
      <c r="A719" s="88"/>
      <c r="B719" s="88"/>
    </row>
    <row r="720" spans="1:2" ht="15.75" thickBot="1" x14ac:dyDescent="0.25">
      <c r="A720" s="88"/>
      <c r="B720" s="88"/>
    </row>
    <row r="721" spans="1:2" ht="15.75" thickBot="1" x14ac:dyDescent="0.25">
      <c r="A721" s="88"/>
      <c r="B721" s="88"/>
    </row>
    <row r="722" spans="1:2" ht="15.75" thickBot="1" x14ac:dyDescent="0.25">
      <c r="A722" s="88"/>
      <c r="B722" s="88"/>
    </row>
    <row r="723" spans="1:2" ht="15.75" thickBot="1" x14ac:dyDescent="0.25">
      <c r="A723" s="88"/>
      <c r="B723" s="88"/>
    </row>
    <row r="724" spans="1:2" ht="15.75" thickBot="1" x14ac:dyDescent="0.25">
      <c r="A724" s="88"/>
      <c r="B724" s="88"/>
    </row>
    <row r="725" spans="1:2" ht="15.75" thickBot="1" x14ac:dyDescent="0.25">
      <c r="A725" s="88"/>
      <c r="B725" s="88"/>
    </row>
    <row r="726" spans="1:2" ht="15.75" thickBot="1" x14ac:dyDescent="0.25">
      <c r="A726" s="88"/>
      <c r="B726" s="88"/>
    </row>
    <row r="727" spans="1:2" ht="15.75" thickBot="1" x14ac:dyDescent="0.25">
      <c r="A727" s="88"/>
      <c r="B727" s="88"/>
    </row>
    <row r="728" spans="1:2" ht="15.75" thickBot="1" x14ac:dyDescent="0.25">
      <c r="A728" s="88"/>
      <c r="B728" s="88"/>
    </row>
    <row r="729" spans="1:2" ht="15.75" thickBot="1" x14ac:dyDescent="0.25">
      <c r="A729" s="88"/>
      <c r="B729" s="88"/>
    </row>
    <row r="730" spans="1:2" ht="15.75" thickBot="1" x14ac:dyDescent="0.25">
      <c r="A730" s="88"/>
      <c r="B730" s="88"/>
    </row>
    <row r="731" spans="1:2" ht="15.75" thickBot="1" x14ac:dyDescent="0.25">
      <c r="A731" s="88"/>
      <c r="B731" s="88"/>
    </row>
    <row r="732" spans="1:2" ht="15.75" thickBot="1" x14ac:dyDescent="0.25">
      <c r="A732" s="88"/>
      <c r="B732" s="88"/>
    </row>
    <row r="733" spans="1:2" ht="15.75" thickBot="1" x14ac:dyDescent="0.25">
      <c r="A733" s="88"/>
      <c r="B733" s="88"/>
    </row>
    <row r="734" spans="1:2" ht="15.75" thickBot="1" x14ac:dyDescent="0.25">
      <c r="A734" s="88"/>
      <c r="B734" s="88"/>
    </row>
    <row r="735" spans="1:2" ht="15.75" thickBot="1" x14ac:dyDescent="0.25">
      <c r="A735" s="88"/>
      <c r="B735" s="88"/>
    </row>
    <row r="736" spans="1:2" ht="15.75" thickBot="1" x14ac:dyDescent="0.25">
      <c r="A736" s="88"/>
      <c r="B736" s="88"/>
    </row>
    <row r="737" spans="1:2" ht="15.75" thickBot="1" x14ac:dyDescent="0.25">
      <c r="A737" s="88"/>
      <c r="B737" s="88"/>
    </row>
    <row r="738" spans="1:2" ht="15.75" thickBot="1" x14ac:dyDescent="0.25">
      <c r="A738" s="88"/>
      <c r="B738" s="88"/>
    </row>
    <row r="739" spans="1:2" ht="15.75" thickBot="1" x14ac:dyDescent="0.25">
      <c r="A739" s="88"/>
      <c r="B739" s="88"/>
    </row>
    <row r="740" spans="1:2" ht="15.75" thickBot="1" x14ac:dyDescent="0.25">
      <c r="A740" s="88"/>
      <c r="B740" s="88"/>
    </row>
    <row r="741" spans="1:2" ht="15.75" thickBot="1" x14ac:dyDescent="0.25">
      <c r="A741" s="88"/>
      <c r="B741" s="88"/>
    </row>
    <row r="742" spans="1:2" ht="15.75" thickBot="1" x14ac:dyDescent="0.25">
      <c r="A742" s="88"/>
      <c r="B742" s="88"/>
    </row>
    <row r="743" spans="1:2" ht="15.75" thickBot="1" x14ac:dyDescent="0.25">
      <c r="A743" s="88"/>
      <c r="B743" s="88"/>
    </row>
    <row r="744" spans="1:2" ht="15.75" thickBot="1" x14ac:dyDescent="0.25">
      <c r="A744" s="88"/>
      <c r="B744" s="88"/>
    </row>
    <row r="745" spans="1:2" ht="15.75" thickBot="1" x14ac:dyDescent="0.25">
      <c r="A745" s="88"/>
      <c r="B745" s="88"/>
    </row>
    <row r="746" spans="1:2" ht="15.75" thickBot="1" x14ac:dyDescent="0.25">
      <c r="A746" s="88"/>
      <c r="B746" s="88"/>
    </row>
    <row r="747" spans="1:2" ht="15.75" thickBot="1" x14ac:dyDescent="0.25">
      <c r="A747" s="88"/>
      <c r="B747" s="88"/>
    </row>
    <row r="748" spans="1:2" ht="15.75" thickBot="1" x14ac:dyDescent="0.25">
      <c r="A748" s="88"/>
      <c r="B748" s="88"/>
    </row>
    <row r="749" spans="1:2" ht="15.75" thickBot="1" x14ac:dyDescent="0.25">
      <c r="A749" s="88"/>
      <c r="B749" s="88"/>
    </row>
    <row r="750" spans="1:2" ht="15.75" thickBot="1" x14ac:dyDescent="0.25">
      <c r="A750" s="88"/>
      <c r="B750" s="88"/>
    </row>
    <row r="751" spans="1:2" ht="15.75" thickBot="1" x14ac:dyDescent="0.25">
      <c r="A751" s="88"/>
      <c r="B751" s="88"/>
    </row>
    <row r="752" spans="1:2" ht="15.75" thickBot="1" x14ac:dyDescent="0.25">
      <c r="A752" s="88"/>
      <c r="B752" s="88"/>
    </row>
    <row r="753" spans="1:2" ht="15.75" thickBot="1" x14ac:dyDescent="0.25">
      <c r="A753" s="88"/>
      <c r="B753" s="88"/>
    </row>
    <row r="754" spans="1:2" ht="15.75" thickBot="1" x14ac:dyDescent="0.25">
      <c r="A754" s="88"/>
      <c r="B754" s="88"/>
    </row>
    <row r="755" spans="1:2" ht="15.75" thickBot="1" x14ac:dyDescent="0.25">
      <c r="A755" s="88"/>
      <c r="B755" s="88"/>
    </row>
    <row r="756" spans="1:2" ht="15.75" thickBot="1" x14ac:dyDescent="0.25">
      <c r="A756" s="88"/>
      <c r="B756" s="88"/>
    </row>
    <row r="757" spans="1:2" ht="15.75" thickBot="1" x14ac:dyDescent="0.25">
      <c r="A757" s="88"/>
      <c r="B757" s="88"/>
    </row>
    <row r="758" spans="1:2" ht="15.75" thickBot="1" x14ac:dyDescent="0.25">
      <c r="A758" s="88"/>
      <c r="B758" s="88"/>
    </row>
    <row r="759" spans="1:2" ht="15.75" thickBot="1" x14ac:dyDescent="0.25">
      <c r="A759" s="88"/>
      <c r="B759" s="88"/>
    </row>
    <row r="760" spans="1:2" ht="15.75" thickBot="1" x14ac:dyDescent="0.25">
      <c r="A760" s="88"/>
      <c r="B760" s="88"/>
    </row>
    <row r="761" spans="1:2" ht="15.75" thickBot="1" x14ac:dyDescent="0.25">
      <c r="A761" s="88"/>
      <c r="B761" s="88"/>
    </row>
    <row r="762" spans="1:2" ht="15.75" thickBot="1" x14ac:dyDescent="0.25">
      <c r="A762" s="88"/>
      <c r="B762" s="88"/>
    </row>
    <row r="763" spans="1:2" ht="15.75" thickBot="1" x14ac:dyDescent="0.25">
      <c r="A763" s="88"/>
      <c r="B763" s="88"/>
    </row>
    <row r="764" spans="1:2" ht="15.75" thickBot="1" x14ac:dyDescent="0.25">
      <c r="A764" s="88"/>
      <c r="B764" s="88"/>
    </row>
    <row r="765" spans="1:2" ht="15.75" thickBot="1" x14ac:dyDescent="0.25">
      <c r="A765" s="88"/>
      <c r="B765" s="88"/>
    </row>
    <row r="766" spans="1:2" ht="15.75" thickBot="1" x14ac:dyDescent="0.25">
      <c r="A766" s="88"/>
      <c r="B766" s="88"/>
    </row>
    <row r="767" spans="1:2" ht="15.75" thickBot="1" x14ac:dyDescent="0.25">
      <c r="A767" s="88"/>
      <c r="B767" s="88"/>
    </row>
    <row r="768" spans="1:2" ht="15.75" thickBot="1" x14ac:dyDescent="0.25">
      <c r="A768" s="88"/>
      <c r="B768" s="88"/>
    </row>
    <row r="769" spans="1:2" ht="15.75" thickBot="1" x14ac:dyDescent="0.25">
      <c r="A769" s="88"/>
      <c r="B769" s="88"/>
    </row>
    <row r="770" spans="1:2" ht="15.75" thickBot="1" x14ac:dyDescent="0.25">
      <c r="A770" s="88"/>
      <c r="B770" s="88"/>
    </row>
    <row r="771" spans="1:2" ht="15.75" thickBot="1" x14ac:dyDescent="0.25">
      <c r="A771" s="88"/>
      <c r="B771" s="88"/>
    </row>
    <row r="772" spans="1:2" ht="15.75" thickBot="1" x14ac:dyDescent="0.25">
      <c r="A772" s="88"/>
      <c r="B772" s="88"/>
    </row>
    <row r="773" spans="1:2" ht="15.75" thickBot="1" x14ac:dyDescent="0.25">
      <c r="A773" s="88"/>
      <c r="B773" s="88"/>
    </row>
    <row r="774" spans="1:2" ht="15.75" thickBot="1" x14ac:dyDescent="0.25">
      <c r="A774" s="88"/>
      <c r="B774" s="88"/>
    </row>
    <row r="775" spans="1:2" ht="15.75" thickBot="1" x14ac:dyDescent="0.25">
      <c r="A775" s="88"/>
      <c r="B775" s="88"/>
    </row>
    <row r="776" spans="1:2" ht="15.75" thickBot="1" x14ac:dyDescent="0.25">
      <c r="A776" s="88"/>
      <c r="B776" s="88"/>
    </row>
    <row r="777" spans="1:2" ht="15.75" thickBot="1" x14ac:dyDescent="0.25">
      <c r="A777" s="88"/>
      <c r="B777" s="88"/>
    </row>
    <row r="778" spans="1:2" ht="15.75" thickBot="1" x14ac:dyDescent="0.25">
      <c r="A778" s="88"/>
      <c r="B778" s="88"/>
    </row>
    <row r="779" spans="1:2" ht="15.75" thickBot="1" x14ac:dyDescent="0.25">
      <c r="A779" s="88"/>
      <c r="B779" s="88"/>
    </row>
    <row r="780" spans="1:2" ht="15.75" thickBot="1" x14ac:dyDescent="0.25">
      <c r="A780" s="88"/>
      <c r="B780" s="88"/>
    </row>
    <row r="781" spans="1:2" ht="15.75" thickBot="1" x14ac:dyDescent="0.25">
      <c r="A781" s="88"/>
      <c r="B781" s="88"/>
    </row>
    <row r="782" spans="1:2" ht="15.75" thickBot="1" x14ac:dyDescent="0.25">
      <c r="A782" s="88"/>
      <c r="B782" s="88"/>
    </row>
    <row r="783" spans="1:2" ht="15.75" thickBot="1" x14ac:dyDescent="0.25">
      <c r="A783" s="88"/>
      <c r="B783" s="88"/>
    </row>
    <row r="784" spans="1:2" ht="15.75" thickBot="1" x14ac:dyDescent="0.25">
      <c r="A784" s="88"/>
      <c r="B784" s="88"/>
    </row>
    <row r="785" spans="1:2" ht="15.75" thickBot="1" x14ac:dyDescent="0.25">
      <c r="A785" s="88"/>
      <c r="B785" s="88"/>
    </row>
    <row r="786" spans="1:2" ht="15.75" thickBot="1" x14ac:dyDescent="0.25">
      <c r="A786" s="88"/>
      <c r="B786" s="88"/>
    </row>
    <row r="787" spans="1:2" ht="15.75" thickBot="1" x14ac:dyDescent="0.25">
      <c r="A787" s="88"/>
      <c r="B787" s="88"/>
    </row>
    <row r="788" spans="1:2" ht="15.75" thickBot="1" x14ac:dyDescent="0.25">
      <c r="A788" s="88"/>
      <c r="B788" s="88"/>
    </row>
    <row r="789" spans="1:2" ht="15.75" thickBot="1" x14ac:dyDescent="0.25">
      <c r="A789" s="88"/>
      <c r="B789" s="88"/>
    </row>
    <row r="790" spans="1:2" ht="15.75" thickBot="1" x14ac:dyDescent="0.25">
      <c r="A790" s="88"/>
      <c r="B790" s="88"/>
    </row>
    <row r="791" spans="1:2" ht="15.75" thickBot="1" x14ac:dyDescent="0.25">
      <c r="A791" s="88"/>
      <c r="B791" s="88"/>
    </row>
    <row r="792" spans="1:2" ht="15.75" thickBot="1" x14ac:dyDescent="0.25">
      <c r="A792" s="88"/>
      <c r="B792" s="88"/>
    </row>
    <row r="793" spans="1:2" ht="15.75" thickBot="1" x14ac:dyDescent="0.25">
      <c r="A793" s="88"/>
      <c r="B793" s="88"/>
    </row>
    <row r="794" spans="1:2" ht="15.75" thickBot="1" x14ac:dyDescent="0.25">
      <c r="A794" s="88"/>
      <c r="B794" s="88"/>
    </row>
    <row r="795" spans="1:2" ht="15.75" thickBot="1" x14ac:dyDescent="0.25">
      <c r="A795" s="88"/>
      <c r="B795" s="88"/>
    </row>
    <row r="796" spans="1:2" ht="15.75" thickBot="1" x14ac:dyDescent="0.25">
      <c r="A796" s="88"/>
      <c r="B796" s="88"/>
    </row>
    <row r="797" spans="1:2" ht="15.75" thickBot="1" x14ac:dyDescent="0.25">
      <c r="A797" s="88"/>
      <c r="B797" s="88"/>
    </row>
    <row r="798" spans="1:2" ht="15.75" thickBot="1" x14ac:dyDescent="0.25">
      <c r="A798" s="88"/>
      <c r="B798" s="88"/>
    </row>
    <row r="799" spans="1:2" ht="15.75" thickBot="1" x14ac:dyDescent="0.25">
      <c r="A799" s="88"/>
      <c r="B799" s="88"/>
    </row>
    <row r="800" spans="1:2" ht="15.75" thickBot="1" x14ac:dyDescent="0.25">
      <c r="A800" s="88"/>
      <c r="B800" s="88"/>
    </row>
    <row r="801" spans="1:2" ht="15.75" thickBot="1" x14ac:dyDescent="0.25">
      <c r="A801" s="88"/>
      <c r="B801" s="88"/>
    </row>
    <row r="802" spans="1:2" ht="15.75" thickBot="1" x14ac:dyDescent="0.25">
      <c r="A802" s="88"/>
      <c r="B802" s="88"/>
    </row>
    <row r="803" spans="1:2" ht="15.75" thickBot="1" x14ac:dyDescent="0.25">
      <c r="A803" s="88"/>
      <c r="B803" s="88"/>
    </row>
    <row r="804" spans="1:2" ht="15.75" thickBot="1" x14ac:dyDescent="0.25">
      <c r="A804" s="88"/>
      <c r="B804" s="88"/>
    </row>
    <row r="805" spans="1:2" ht="15.75" thickBot="1" x14ac:dyDescent="0.25">
      <c r="A805" s="88"/>
      <c r="B805" s="88"/>
    </row>
    <row r="806" spans="1:2" ht="15.75" thickBot="1" x14ac:dyDescent="0.25">
      <c r="A806" s="88"/>
      <c r="B806" s="88"/>
    </row>
    <row r="807" spans="1:2" ht="15.75" thickBot="1" x14ac:dyDescent="0.25">
      <c r="A807" s="88"/>
      <c r="B807" s="88"/>
    </row>
    <row r="808" spans="1:2" ht="15.75" thickBot="1" x14ac:dyDescent="0.25">
      <c r="A808" s="88"/>
      <c r="B808" s="88"/>
    </row>
    <row r="809" spans="1:2" ht="15.75" thickBot="1" x14ac:dyDescent="0.25">
      <c r="A809" s="88"/>
      <c r="B809" s="88"/>
    </row>
    <row r="810" spans="1:2" ht="15.75" thickBot="1" x14ac:dyDescent="0.25">
      <c r="A810" s="88"/>
      <c r="B810" s="88"/>
    </row>
    <row r="811" spans="1:2" ht="15.75" thickBot="1" x14ac:dyDescent="0.25">
      <c r="A811" s="88"/>
      <c r="B811" s="88"/>
    </row>
    <row r="812" spans="1:2" ht="15.75" thickBot="1" x14ac:dyDescent="0.25">
      <c r="A812" s="88"/>
      <c r="B812" s="88"/>
    </row>
    <row r="813" spans="1:2" ht="15.75" thickBot="1" x14ac:dyDescent="0.25">
      <c r="A813" s="88"/>
      <c r="B813" s="88"/>
    </row>
    <row r="814" spans="1:2" ht="15.75" thickBot="1" x14ac:dyDescent="0.25">
      <c r="A814" s="88"/>
      <c r="B814" s="88"/>
    </row>
    <row r="815" spans="1:2" ht="15.75" thickBot="1" x14ac:dyDescent="0.25">
      <c r="A815" s="88"/>
      <c r="B815" s="88"/>
    </row>
    <row r="816" spans="1:2" ht="15.75" thickBot="1" x14ac:dyDescent="0.25">
      <c r="A816" s="88"/>
      <c r="B816" s="88"/>
    </row>
    <row r="817" spans="1:2" ht="15.75" thickBot="1" x14ac:dyDescent="0.25">
      <c r="A817" s="88"/>
      <c r="B817" s="88"/>
    </row>
    <row r="818" spans="1:2" ht="15.75" thickBot="1" x14ac:dyDescent="0.25">
      <c r="A818" s="88"/>
      <c r="B818" s="88"/>
    </row>
    <row r="819" spans="1:2" ht="15.75" thickBot="1" x14ac:dyDescent="0.25">
      <c r="A819" s="88"/>
      <c r="B819" s="88"/>
    </row>
    <row r="820" spans="1:2" ht="15.75" thickBot="1" x14ac:dyDescent="0.25">
      <c r="A820" s="88"/>
      <c r="B820" s="88"/>
    </row>
    <row r="821" spans="1:2" ht="15.75" thickBot="1" x14ac:dyDescent="0.25">
      <c r="A821" s="88"/>
      <c r="B821" s="88"/>
    </row>
    <row r="822" spans="1:2" ht="15.75" thickBot="1" x14ac:dyDescent="0.25">
      <c r="A822" s="88"/>
      <c r="B822" s="88"/>
    </row>
    <row r="823" spans="1:2" ht="15.75" thickBot="1" x14ac:dyDescent="0.25">
      <c r="A823" s="88"/>
      <c r="B823" s="88"/>
    </row>
    <row r="824" spans="1:2" ht="15.75" thickBot="1" x14ac:dyDescent="0.25">
      <c r="A824" s="88"/>
      <c r="B824" s="88"/>
    </row>
    <row r="825" spans="1:2" ht="15.75" thickBot="1" x14ac:dyDescent="0.25">
      <c r="A825" s="88"/>
      <c r="B825" s="88"/>
    </row>
    <row r="826" spans="1:2" ht="15.75" thickBot="1" x14ac:dyDescent="0.25">
      <c r="A826" s="88"/>
      <c r="B826" s="88"/>
    </row>
    <row r="827" spans="1:2" ht="15.75" thickBot="1" x14ac:dyDescent="0.25">
      <c r="A827" s="88"/>
      <c r="B827" s="88"/>
    </row>
    <row r="828" spans="1:2" ht="15.75" thickBot="1" x14ac:dyDescent="0.25">
      <c r="A828" s="88"/>
      <c r="B828" s="88"/>
    </row>
    <row r="829" spans="1:2" ht="15.75" thickBot="1" x14ac:dyDescent="0.25">
      <c r="A829" s="88"/>
      <c r="B829" s="88"/>
    </row>
    <row r="830" spans="1:2" ht="15.75" thickBot="1" x14ac:dyDescent="0.25">
      <c r="A830" s="88"/>
      <c r="B830" s="88"/>
    </row>
    <row r="831" spans="1:2" ht="15.75" thickBot="1" x14ac:dyDescent="0.25">
      <c r="A831" s="88"/>
      <c r="B831" s="88"/>
    </row>
    <row r="832" spans="1:2" ht="15.75" thickBot="1" x14ac:dyDescent="0.25">
      <c r="A832" s="88"/>
      <c r="B832" s="88"/>
    </row>
    <row r="833" spans="1:2" ht="15.75" thickBot="1" x14ac:dyDescent="0.25">
      <c r="A833" s="88"/>
      <c r="B833" s="88"/>
    </row>
    <row r="834" spans="1:2" ht="15.75" thickBot="1" x14ac:dyDescent="0.25">
      <c r="A834" s="88"/>
      <c r="B834" s="88"/>
    </row>
    <row r="835" spans="1:2" ht="15.75" thickBot="1" x14ac:dyDescent="0.25">
      <c r="A835" s="88"/>
      <c r="B835" s="88"/>
    </row>
    <row r="836" spans="1:2" ht="15.75" thickBot="1" x14ac:dyDescent="0.25">
      <c r="A836" s="88"/>
      <c r="B836" s="88"/>
    </row>
    <row r="837" spans="1:2" ht="15.75" thickBot="1" x14ac:dyDescent="0.25">
      <c r="A837" s="88"/>
      <c r="B837" s="88"/>
    </row>
    <row r="838" spans="1:2" ht="15.75" thickBot="1" x14ac:dyDescent="0.25">
      <c r="A838" s="88"/>
      <c r="B838" s="88"/>
    </row>
    <row r="839" spans="1:2" ht="15.75" thickBot="1" x14ac:dyDescent="0.25">
      <c r="A839" s="88"/>
      <c r="B839" s="88"/>
    </row>
    <row r="840" spans="1:2" ht="15.75" thickBot="1" x14ac:dyDescent="0.25">
      <c r="A840" s="88"/>
      <c r="B840" s="88"/>
    </row>
    <row r="841" spans="1:2" ht="15.75" thickBot="1" x14ac:dyDescent="0.25">
      <c r="A841" s="88"/>
      <c r="B841" s="88"/>
    </row>
    <row r="842" spans="1:2" ht="15.75" thickBot="1" x14ac:dyDescent="0.25">
      <c r="A842" s="88"/>
      <c r="B842" s="88"/>
    </row>
    <row r="843" spans="1:2" ht="15.75" thickBot="1" x14ac:dyDescent="0.25">
      <c r="A843" s="88"/>
      <c r="B843" s="88"/>
    </row>
    <row r="844" spans="1:2" ht="15.75" thickBot="1" x14ac:dyDescent="0.25">
      <c r="A844" s="88"/>
      <c r="B844" s="88"/>
    </row>
    <row r="845" spans="1:2" ht="15.75" thickBot="1" x14ac:dyDescent="0.25">
      <c r="A845" s="88"/>
      <c r="B845" s="88"/>
    </row>
    <row r="846" spans="1:2" ht="15.75" thickBot="1" x14ac:dyDescent="0.25">
      <c r="A846" s="88"/>
      <c r="B846" s="88"/>
    </row>
    <row r="847" spans="1:2" ht="15.75" thickBot="1" x14ac:dyDescent="0.25">
      <c r="A847" s="88"/>
      <c r="B847" s="88"/>
    </row>
    <row r="848" spans="1:2" ht="15.75" thickBot="1" x14ac:dyDescent="0.25">
      <c r="A848" s="88"/>
      <c r="B848" s="88"/>
    </row>
    <row r="849" spans="1:2" ht="15.75" thickBot="1" x14ac:dyDescent="0.25">
      <c r="A849" s="88"/>
      <c r="B849" s="88"/>
    </row>
    <row r="850" spans="1:2" ht="15.75" thickBot="1" x14ac:dyDescent="0.25">
      <c r="A850" s="88"/>
      <c r="B850" s="88"/>
    </row>
    <row r="851" spans="1:2" ht="15.75" thickBot="1" x14ac:dyDescent="0.25">
      <c r="A851" s="88"/>
      <c r="B851" s="88"/>
    </row>
    <row r="852" spans="1:2" ht="15.75" thickBot="1" x14ac:dyDescent="0.25">
      <c r="A852" s="88"/>
      <c r="B852" s="88"/>
    </row>
    <row r="853" spans="1:2" ht="15.75" thickBot="1" x14ac:dyDescent="0.25">
      <c r="A853" s="88"/>
      <c r="B853" s="88"/>
    </row>
    <row r="854" spans="1:2" ht="15.75" thickBot="1" x14ac:dyDescent="0.25">
      <c r="A854" s="88"/>
      <c r="B854" s="88"/>
    </row>
    <row r="855" spans="1:2" ht="15.75" thickBot="1" x14ac:dyDescent="0.25">
      <c r="A855" s="88"/>
      <c r="B855" s="88"/>
    </row>
    <row r="856" spans="1:2" ht="15.75" thickBot="1" x14ac:dyDescent="0.25">
      <c r="A856" s="88"/>
      <c r="B856" s="88"/>
    </row>
    <row r="857" spans="1:2" ht="15.75" thickBot="1" x14ac:dyDescent="0.25">
      <c r="A857" s="88"/>
      <c r="B857" s="88"/>
    </row>
    <row r="858" spans="1:2" ht="15.75" thickBot="1" x14ac:dyDescent="0.25">
      <c r="A858" s="88"/>
      <c r="B858" s="88"/>
    </row>
    <row r="859" spans="1:2" ht="15.75" thickBot="1" x14ac:dyDescent="0.25">
      <c r="A859" s="88"/>
      <c r="B859" s="88"/>
    </row>
    <row r="860" spans="1:2" ht="15.75" thickBot="1" x14ac:dyDescent="0.25">
      <c r="A860" s="88"/>
      <c r="B860" s="88"/>
    </row>
    <row r="861" spans="1:2" ht="15.75" thickBot="1" x14ac:dyDescent="0.25">
      <c r="A861" s="88"/>
      <c r="B861" s="88"/>
    </row>
    <row r="862" spans="1:2" ht="15.75" thickBot="1" x14ac:dyDescent="0.25">
      <c r="A862" s="88"/>
      <c r="B862" s="88"/>
    </row>
    <row r="863" spans="1:2" ht="15.75" thickBot="1" x14ac:dyDescent="0.25">
      <c r="A863" s="88"/>
      <c r="B863" s="88"/>
    </row>
    <row r="864" spans="1:2" ht="15.75" thickBot="1" x14ac:dyDescent="0.25">
      <c r="A864" s="88"/>
      <c r="B864" s="88"/>
    </row>
    <row r="865" spans="1:2" ht="15.75" thickBot="1" x14ac:dyDescent="0.25">
      <c r="A865" s="88"/>
      <c r="B865" s="88"/>
    </row>
    <row r="866" spans="1:2" ht="15.75" thickBot="1" x14ac:dyDescent="0.25">
      <c r="A866" s="88"/>
      <c r="B866" s="88"/>
    </row>
    <row r="867" spans="1:2" ht="15.75" thickBot="1" x14ac:dyDescent="0.25">
      <c r="A867" s="88"/>
      <c r="B867" s="88"/>
    </row>
    <row r="868" spans="1:2" ht="15.75" thickBot="1" x14ac:dyDescent="0.25">
      <c r="A868" s="88"/>
      <c r="B868" s="88"/>
    </row>
    <row r="869" spans="1:2" ht="15.75" thickBot="1" x14ac:dyDescent="0.25">
      <c r="A869" s="88"/>
      <c r="B869" s="88"/>
    </row>
    <row r="870" spans="1:2" ht="15.75" thickBot="1" x14ac:dyDescent="0.25">
      <c r="A870" s="88"/>
      <c r="B870" s="88"/>
    </row>
    <row r="871" spans="1:2" ht="15.75" thickBot="1" x14ac:dyDescent="0.25">
      <c r="A871" s="88"/>
      <c r="B871" s="88"/>
    </row>
    <row r="872" spans="1:2" ht="15.75" thickBot="1" x14ac:dyDescent="0.25">
      <c r="A872" s="88"/>
      <c r="B872" s="88"/>
    </row>
    <row r="873" spans="1:2" ht="15.75" thickBot="1" x14ac:dyDescent="0.25">
      <c r="A873" s="88"/>
      <c r="B873" s="88"/>
    </row>
    <row r="874" spans="1:2" ht="15.75" thickBot="1" x14ac:dyDescent="0.25">
      <c r="A874" s="88"/>
      <c r="B874" s="88"/>
    </row>
    <row r="875" spans="1:2" ht="15.75" thickBot="1" x14ac:dyDescent="0.25">
      <c r="A875" s="88"/>
      <c r="B875" s="88"/>
    </row>
    <row r="876" spans="1:2" ht="15.75" thickBot="1" x14ac:dyDescent="0.25">
      <c r="A876" s="88"/>
      <c r="B876" s="88"/>
    </row>
    <row r="877" spans="1:2" ht="15.75" thickBot="1" x14ac:dyDescent="0.25">
      <c r="A877" s="88"/>
      <c r="B877" s="88"/>
    </row>
    <row r="878" spans="1:2" ht="15.75" thickBot="1" x14ac:dyDescent="0.25">
      <c r="A878" s="88"/>
      <c r="B878" s="88"/>
    </row>
    <row r="879" spans="1:2" ht="15.75" thickBot="1" x14ac:dyDescent="0.25">
      <c r="A879" s="88"/>
      <c r="B879" s="88"/>
    </row>
    <row r="880" spans="1:2" ht="15.75" thickBot="1" x14ac:dyDescent="0.25">
      <c r="A880" s="88"/>
      <c r="B880" s="88"/>
    </row>
    <row r="881" spans="1:2" ht="15.75" thickBot="1" x14ac:dyDescent="0.25">
      <c r="A881" s="88"/>
      <c r="B881" s="88"/>
    </row>
    <row r="882" spans="1:2" ht="15.75" thickBot="1" x14ac:dyDescent="0.25">
      <c r="A882" s="88"/>
      <c r="B882" s="88"/>
    </row>
    <row r="883" spans="1:2" ht="15.75" thickBot="1" x14ac:dyDescent="0.25">
      <c r="A883" s="88"/>
      <c r="B883" s="88"/>
    </row>
    <row r="884" spans="1:2" ht="15.75" thickBot="1" x14ac:dyDescent="0.25">
      <c r="A884" s="88"/>
      <c r="B884" s="88"/>
    </row>
    <row r="885" spans="1:2" ht="15.75" thickBot="1" x14ac:dyDescent="0.25">
      <c r="A885" s="88"/>
      <c r="B885" s="88"/>
    </row>
    <row r="886" spans="1:2" ht="15.75" thickBot="1" x14ac:dyDescent="0.25">
      <c r="A886" s="88"/>
      <c r="B886" s="88"/>
    </row>
    <row r="887" spans="1:2" ht="15.75" thickBot="1" x14ac:dyDescent="0.25">
      <c r="A887" s="88"/>
      <c r="B887" s="88"/>
    </row>
    <row r="888" spans="1:2" ht="15.75" thickBot="1" x14ac:dyDescent="0.25">
      <c r="A888" s="88"/>
      <c r="B888" s="88"/>
    </row>
    <row r="889" spans="1:2" ht="15.75" thickBot="1" x14ac:dyDescent="0.25">
      <c r="A889" s="88"/>
      <c r="B889" s="88"/>
    </row>
    <row r="890" spans="1:2" ht="15.75" thickBot="1" x14ac:dyDescent="0.25">
      <c r="A890" s="88"/>
      <c r="B890" s="88"/>
    </row>
    <row r="891" spans="1:2" ht="15.75" thickBot="1" x14ac:dyDescent="0.25">
      <c r="A891" s="88"/>
      <c r="B891" s="88"/>
    </row>
    <row r="892" spans="1:2" ht="15.75" thickBot="1" x14ac:dyDescent="0.25">
      <c r="A892" s="88"/>
      <c r="B892" s="88"/>
    </row>
    <row r="893" spans="1:2" ht="15.75" thickBot="1" x14ac:dyDescent="0.25">
      <c r="A893" s="88"/>
      <c r="B893" s="88"/>
    </row>
    <row r="894" spans="1:2" ht="15.75" thickBot="1" x14ac:dyDescent="0.25">
      <c r="A894" s="88"/>
      <c r="B894" s="88"/>
    </row>
    <row r="895" spans="1:2" ht="15.75" thickBot="1" x14ac:dyDescent="0.25">
      <c r="A895" s="88"/>
      <c r="B895" s="88"/>
    </row>
    <row r="896" spans="1:2" ht="15.75" thickBot="1" x14ac:dyDescent="0.25">
      <c r="A896" s="88"/>
      <c r="B896" s="88"/>
    </row>
    <row r="897" spans="1:2" ht="15.75" thickBot="1" x14ac:dyDescent="0.25">
      <c r="A897" s="88"/>
      <c r="B897" s="88"/>
    </row>
    <row r="898" spans="1:2" ht="15.75" thickBot="1" x14ac:dyDescent="0.25">
      <c r="A898" s="88"/>
      <c r="B898" s="88"/>
    </row>
    <row r="899" spans="1:2" ht="15.75" thickBot="1" x14ac:dyDescent="0.25">
      <c r="A899" s="88"/>
      <c r="B899" s="88"/>
    </row>
    <row r="900" spans="1:2" ht="15.75" thickBot="1" x14ac:dyDescent="0.25">
      <c r="A900" s="88"/>
      <c r="B900" s="88"/>
    </row>
    <row r="901" spans="1:2" ht="15.75" thickBot="1" x14ac:dyDescent="0.25">
      <c r="A901" s="88"/>
      <c r="B901" s="88"/>
    </row>
    <row r="902" spans="1:2" ht="15.75" thickBot="1" x14ac:dyDescent="0.25">
      <c r="A902" s="88"/>
      <c r="B902" s="88"/>
    </row>
    <row r="903" spans="1:2" ht="15.75" thickBot="1" x14ac:dyDescent="0.25">
      <c r="A903" s="88"/>
      <c r="B903" s="88"/>
    </row>
    <row r="904" spans="1:2" ht="15.75" thickBot="1" x14ac:dyDescent="0.25">
      <c r="A904" s="88"/>
      <c r="B904" s="88"/>
    </row>
    <row r="905" spans="1:2" ht="15.75" thickBot="1" x14ac:dyDescent="0.25">
      <c r="A905" s="88"/>
      <c r="B905" s="88"/>
    </row>
    <row r="906" spans="1:2" ht="15.75" thickBot="1" x14ac:dyDescent="0.25">
      <c r="A906" s="88"/>
      <c r="B906" s="88"/>
    </row>
    <row r="907" spans="1:2" ht="15.75" thickBot="1" x14ac:dyDescent="0.25">
      <c r="A907" s="88"/>
      <c r="B907" s="88"/>
    </row>
    <row r="908" spans="1:2" ht="15.75" thickBot="1" x14ac:dyDescent="0.25">
      <c r="A908" s="88"/>
      <c r="B908" s="88"/>
    </row>
    <row r="909" spans="1:2" ht="15.75" thickBot="1" x14ac:dyDescent="0.25">
      <c r="A909" s="88"/>
      <c r="B909" s="88"/>
    </row>
    <row r="910" spans="1:2" ht="15.75" thickBot="1" x14ac:dyDescent="0.25">
      <c r="A910" s="88"/>
      <c r="B910" s="88"/>
    </row>
    <row r="911" spans="1:2" ht="15.75" thickBot="1" x14ac:dyDescent="0.25">
      <c r="A911" s="88"/>
      <c r="B911" s="88"/>
    </row>
    <row r="912" spans="1:2" ht="15.75" thickBot="1" x14ac:dyDescent="0.25">
      <c r="A912" s="88"/>
      <c r="B912" s="88"/>
    </row>
    <row r="913" spans="1:2" ht="15.75" thickBot="1" x14ac:dyDescent="0.25">
      <c r="A913" s="88"/>
      <c r="B913" s="88"/>
    </row>
    <row r="914" spans="1:2" ht="15.75" thickBot="1" x14ac:dyDescent="0.25">
      <c r="A914" s="88"/>
      <c r="B914" s="88"/>
    </row>
    <row r="915" spans="1:2" ht="15.75" thickBot="1" x14ac:dyDescent="0.25">
      <c r="A915" s="88"/>
      <c r="B915" s="88"/>
    </row>
    <row r="916" spans="1:2" ht="15.75" thickBot="1" x14ac:dyDescent="0.25">
      <c r="A916" s="88"/>
      <c r="B916" s="88"/>
    </row>
    <row r="917" spans="1:2" ht="15.75" thickBot="1" x14ac:dyDescent="0.25">
      <c r="A917" s="88"/>
      <c r="B917" s="88"/>
    </row>
    <row r="918" spans="1:2" ht="15.75" thickBot="1" x14ac:dyDescent="0.25">
      <c r="A918" s="88"/>
      <c r="B918" s="88"/>
    </row>
    <row r="919" spans="1:2" ht="15.75" thickBot="1" x14ac:dyDescent="0.25">
      <c r="A919" s="88"/>
      <c r="B919" s="88"/>
    </row>
    <row r="920" spans="1:2" ht="15.75" thickBot="1" x14ac:dyDescent="0.25">
      <c r="A920" s="88"/>
      <c r="B920" s="88"/>
    </row>
    <row r="921" spans="1:2" ht="15.75" thickBot="1" x14ac:dyDescent="0.25">
      <c r="A921" s="88"/>
      <c r="B921" s="88"/>
    </row>
    <row r="922" spans="1:2" ht="15.75" thickBot="1" x14ac:dyDescent="0.25">
      <c r="A922" s="88"/>
      <c r="B922" s="88"/>
    </row>
    <row r="923" spans="1:2" ht="15.75" thickBot="1" x14ac:dyDescent="0.25">
      <c r="A923" s="88"/>
      <c r="B923" s="88"/>
    </row>
    <row r="924" spans="1:2" ht="15.75" thickBot="1" x14ac:dyDescent="0.25">
      <c r="A924" s="88"/>
      <c r="B924" s="88"/>
    </row>
    <row r="925" spans="1:2" ht="15.75" thickBot="1" x14ac:dyDescent="0.25">
      <c r="A925" s="88"/>
      <c r="B925" s="88"/>
    </row>
    <row r="926" spans="1:2" ht="15.75" thickBot="1" x14ac:dyDescent="0.25">
      <c r="A926" s="88"/>
      <c r="B926" s="88"/>
    </row>
    <row r="927" spans="1:2" ht="15.75" thickBot="1" x14ac:dyDescent="0.25">
      <c r="A927" s="88"/>
      <c r="B927" s="88"/>
    </row>
    <row r="928" spans="1:2" ht="15.75" thickBot="1" x14ac:dyDescent="0.25">
      <c r="A928" s="88"/>
      <c r="B928" s="88"/>
    </row>
    <row r="929" spans="1:2" ht="15.75" thickBot="1" x14ac:dyDescent="0.25">
      <c r="A929" s="88"/>
      <c r="B929" s="88"/>
    </row>
    <row r="930" spans="1:2" ht="15.75" thickBot="1" x14ac:dyDescent="0.25">
      <c r="A930" s="88"/>
      <c r="B930" s="88"/>
    </row>
    <row r="931" spans="1:2" ht="15.75" thickBot="1" x14ac:dyDescent="0.25">
      <c r="A931" s="88"/>
      <c r="B931" s="88"/>
    </row>
    <row r="932" spans="1:2" ht="15.75" thickBot="1" x14ac:dyDescent="0.25">
      <c r="A932" s="88"/>
      <c r="B932" s="88"/>
    </row>
    <row r="933" spans="1:2" ht="15.75" thickBot="1" x14ac:dyDescent="0.25">
      <c r="A933" s="88"/>
      <c r="B933" s="88"/>
    </row>
    <row r="934" spans="1:2" ht="15.75" thickBot="1" x14ac:dyDescent="0.25">
      <c r="A934" s="88"/>
      <c r="B934" s="88"/>
    </row>
    <row r="935" spans="1:2" ht="15.75" thickBot="1" x14ac:dyDescent="0.25">
      <c r="A935" s="88"/>
      <c r="B935" s="88"/>
    </row>
    <row r="936" spans="1:2" ht="15.75" thickBot="1" x14ac:dyDescent="0.25">
      <c r="A936" s="88"/>
      <c r="B936" s="88"/>
    </row>
    <row r="937" spans="1:2" ht="15.75" thickBot="1" x14ac:dyDescent="0.25">
      <c r="A937" s="88"/>
      <c r="B937" s="88"/>
    </row>
    <row r="938" spans="1:2" ht="15.75" thickBot="1" x14ac:dyDescent="0.25">
      <c r="A938" s="88"/>
      <c r="B938" s="88"/>
    </row>
    <row r="939" spans="1:2" ht="15.75" thickBot="1" x14ac:dyDescent="0.25">
      <c r="A939" s="88"/>
      <c r="B939" s="88"/>
    </row>
    <row r="940" spans="1:2" ht="15.75" thickBot="1" x14ac:dyDescent="0.25">
      <c r="A940" s="88"/>
      <c r="B940" s="88"/>
    </row>
    <row r="941" spans="1:2" ht="15.75" thickBot="1" x14ac:dyDescent="0.25">
      <c r="A941" s="88"/>
      <c r="B941" s="88"/>
    </row>
    <row r="942" spans="1:2" ht="15.75" thickBot="1" x14ac:dyDescent="0.25">
      <c r="A942" s="88"/>
      <c r="B942" s="88"/>
    </row>
    <row r="943" spans="1:2" ht="15.75" thickBot="1" x14ac:dyDescent="0.25">
      <c r="A943" s="88"/>
      <c r="B943" s="88"/>
    </row>
    <row r="944" spans="1:2" ht="15.75" thickBot="1" x14ac:dyDescent="0.25">
      <c r="A944" s="88"/>
      <c r="B944" s="88"/>
    </row>
    <row r="945" spans="1:2" ht="15.75" thickBot="1" x14ac:dyDescent="0.25">
      <c r="A945" s="88"/>
      <c r="B945" s="88"/>
    </row>
    <row r="946" spans="1:2" ht="15.75" thickBot="1" x14ac:dyDescent="0.25">
      <c r="A946" s="88"/>
      <c r="B946" s="88"/>
    </row>
    <row r="947" spans="1:2" ht="15.75" thickBot="1" x14ac:dyDescent="0.25">
      <c r="A947" s="88"/>
      <c r="B947" s="88"/>
    </row>
    <row r="948" spans="1:2" ht="15.75" thickBot="1" x14ac:dyDescent="0.25">
      <c r="A948" s="88"/>
      <c r="B948" s="88"/>
    </row>
    <row r="949" spans="1:2" ht="15.75" thickBot="1" x14ac:dyDescent="0.25">
      <c r="A949" s="88"/>
      <c r="B949" s="88"/>
    </row>
    <row r="950" spans="1:2" ht="15.75" thickBot="1" x14ac:dyDescent="0.25">
      <c r="A950" s="88"/>
      <c r="B950" s="88"/>
    </row>
    <row r="951" spans="1:2" ht="15.75" thickBot="1" x14ac:dyDescent="0.25">
      <c r="A951" s="88"/>
      <c r="B951" s="88"/>
    </row>
    <row r="952" spans="1:2" ht="15.75" thickBot="1" x14ac:dyDescent="0.25">
      <c r="A952" s="88"/>
      <c r="B952" s="88"/>
    </row>
    <row r="953" spans="1:2" ht="15.75" thickBot="1" x14ac:dyDescent="0.25">
      <c r="A953" s="88"/>
      <c r="B953" s="88"/>
    </row>
    <row r="954" spans="1:2" ht="15.75" thickBot="1" x14ac:dyDescent="0.25">
      <c r="A954" s="88"/>
      <c r="B954" s="88"/>
    </row>
    <row r="955" spans="1:2" ht="15.75" thickBot="1" x14ac:dyDescent="0.25">
      <c r="A955" s="88"/>
      <c r="B955" s="88"/>
    </row>
    <row r="956" spans="1:2" ht="15.75" thickBot="1" x14ac:dyDescent="0.25">
      <c r="A956" s="88"/>
      <c r="B956" s="88"/>
    </row>
    <row r="957" spans="1:2" ht="15.75" thickBot="1" x14ac:dyDescent="0.25">
      <c r="A957" s="88"/>
      <c r="B957" s="88"/>
    </row>
    <row r="958" spans="1:2" ht="15.75" thickBot="1" x14ac:dyDescent="0.25">
      <c r="A958" s="88"/>
      <c r="B958" s="88"/>
    </row>
    <row r="959" spans="1:2" ht="15.75" thickBot="1" x14ac:dyDescent="0.25">
      <c r="A959" s="88"/>
      <c r="B959" s="88"/>
    </row>
    <row r="960" spans="1:2" ht="15.75" thickBot="1" x14ac:dyDescent="0.25">
      <c r="A960" s="88"/>
      <c r="B960" s="88"/>
    </row>
    <row r="961" spans="1:2" ht="15.75" thickBot="1" x14ac:dyDescent="0.25">
      <c r="A961" s="88"/>
      <c r="B961" s="88"/>
    </row>
    <row r="962" spans="1:2" ht="15.75" thickBot="1" x14ac:dyDescent="0.25">
      <c r="A962" s="88"/>
      <c r="B962" s="88"/>
    </row>
    <row r="963" spans="1:2" ht="15.75" thickBot="1" x14ac:dyDescent="0.25">
      <c r="A963" s="88"/>
      <c r="B963" s="88"/>
    </row>
    <row r="964" spans="1:2" ht="15.75" thickBot="1" x14ac:dyDescent="0.25">
      <c r="A964" s="88"/>
      <c r="B964" s="88"/>
    </row>
    <row r="965" spans="1:2" ht="15.75" thickBot="1" x14ac:dyDescent="0.25">
      <c r="A965" s="88"/>
      <c r="B965" s="88"/>
    </row>
    <row r="966" spans="1:2" ht="15.75" thickBot="1" x14ac:dyDescent="0.25">
      <c r="A966" s="88"/>
      <c r="B966" s="88"/>
    </row>
    <row r="967" spans="1:2" ht="15.75" thickBot="1" x14ac:dyDescent="0.25">
      <c r="A967" s="88"/>
      <c r="B967" s="88"/>
    </row>
    <row r="968" spans="1:2" ht="15.75" thickBot="1" x14ac:dyDescent="0.25">
      <c r="A968" s="88"/>
      <c r="B968" s="88"/>
    </row>
    <row r="969" spans="1:2" ht="15.75" thickBot="1" x14ac:dyDescent="0.25">
      <c r="A969" s="88"/>
      <c r="B969" s="88"/>
    </row>
    <row r="970" spans="1:2" ht="15.75" thickBot="1" x14ac:dyDescent="0.25">
      <c r="A970" s="88"/>
      <c r="B970" s="88"/>
    </row>
    <row r="971" spans="1:2" ht="15.75" thickBot="1" x14ac:dyDescent="0.25">
      <c r="A971" s="88"/>
      <c r="B971" s="88"/>
    </row>
    <row r="972" spans="1:2" ht="15.75" thickBot="1" x14ac:dyDescent="0.25">
      <c r="A972" s="88"/>
      <c r="B972" s="88"/>
    </row>
    <row r="973" spans="1:2" ht="15.75" thickBot="1" x14ac:dyDescent="0.25">
      <c r="A973" s="88"/>
      <c r="B973" s="88"/>
    </row>
    <row r="974" spans="1:2" ht="15.75" thickBot="1" x14ac:dyDescent="0.25">
      <c r="A974" s="88"/>
      <c r="B974" s="88"/>
    </row>
    <row r="975" spans="1:2" ht="15.75" thickBot="1" x14ac:dyDescent="0.25">
      <c r="A975" s="88"/>
      <c r="B975" s="88"/>
    </row>
    <row r="976" spans="1:2" ht="15.75" thickBot="1" x14ac:dyDescent="0.25">
      <c r="A976" s="88"/>
      <c r="B976" s="88"/>
    </row>
    <row r="977" spans="1:2" ht="15.75" thickBot="1" x14ac:dyDescent="0.25">
      <c r="A977" s="88"/>
      <c r="B977" s="88"/>
    </row>
    <row r="978" spans="1:2" ht="15.75" thickBot="1" x14ac:dyDescent="0.25">
      <c r="A978" s="88"/>
      <c r="B978" s="88"/>
    </row>
    <row r="979" spans="1:2" ht="15.75" thickBot="1" x14ac:dyDescent="0.25">
      <c r="A979" s="88"/>
      <c r="B979" s="88"/>
    </row>
    <row r="980" spans="1:2" ht="15.75" thickBot="1" x14ac:dyDescent="0.25">
      <c r="A980" s="88"/>
      <c r="B980" s="88"/>
    </row>
    <row r="981" spans="1:2" ht="15.75" thickBot="1" x14ac:dyDescent="0.25">
      <c r="A981" s="88"/>
      <c r="B981" s="88"/>
    </row>
    <row r="982" spans="1:2" ht="15.75" thickBot="1" x14ac:dyDescent="0.25">
      <c r="A982" s="88"/>
      <c r="B982" s="88"/>
    </row>
    <row r="983" spans="1:2" ht="15.75" thickBot="1" x14ac:dyDescent="0.25">
      <c r="A983" s="88"/>
      <c r="B983" s="88"/>
    </row>
    <row r="984" spans="1:2" ht="15.75" thickBot="1" x14ac:dyDescent="0.25">
      <c r="A984" s="88"/>
      <c r="B984" s="88"/>
    </row>
    <row r="985" spans="1:2" ht="15.75" thickBot="1" x14ac:dyDescent="0.25">
      <c r="A985" s="88"/>
      <c r="B985" s="88"/>
    </row>
    <row r="986" spans="1:2" ht="15.75" thickBot="1" x14ac:dyDescent="0.25">
      <c r="A986" s="88"/>
      <c r="B986" s="88"/>
    </row>
    <row r="987" spans="1:2" ht="15.75" thickBot="1" x14ac:dyDescent="0.25">
      <c r="A987" s="88"/>
      <c r="B987" s="88"/>
    </row>
    <row r="988" spans="1:2" ht="15.75" thickBot="1" x14ac:dyDescent="0.25">
      <c r="A988" s="88"/>
      <c r="B988" s="88"/>
    </row>
    <row r="989" spans="1:2" ht="15.75" thickBot="1" x14ac:dyDescent="0.25">
      <c r="A989" s="88"/>
      <c r="B989" s="88"/>
    </row>
    <row r="990" spans="1:2" ht="15.75" thickBot="1" x14ac:dyDescent="0.25">
      <c r="A990" s="88"/>
      <c r="B990" s="88"/>
    </row>
    <row r="991" spans="1:2" ht="15.75" thickBot="1" x14ac:dyDescent="0.25">
      <c r="A991" s="88"/>
      <c r="B991" s="88"/>
    </row>
    <row r="992" spans="1:2" ht="15.75" thickBot="1" x14ac:dyDescent="0.25">
      <c r="A992" s="88"/>
      <c r="B992" s="88"/>
    </row>
    <row r="993" spans="1:2" ht="15.75" thickBot="1" x14ac:dyDescent="0.25">
      <c r="A993" s="88"/>
      <c r="B993" s="88"/>
    </row>
    <row r="994" spans="1:2" ht="15.75" thickBot="1" x14ac:dyDescent="0.25">
      <c r="A994" s="88"/>
      <c r="B994" s="88"/>
    </row>
    <row r="995" spans="1:2" ht="15.75" thickBot="1" x14ac:dyDescent="0.25">
      <c r="A995" s="88"/>
      <c r="B995" s="88"/>
    </row>
    <row r="996" spans="1:2" ht="15.75" thickBot="1" x14ac:dyDescent="0.25">
      <c r="A996" s="88"/>
      <c r="B996" s="88"/>
    </row>
    <row r="997" spans="1:2" ht="15.75" thickBot="1" x14ac:dyDescent="0.25">
      <c r="A997" s="88"/>
      <c r="B997" s="88"/>
    </row>
    <row r="998" spans="1:2" ht="15.75" thickBot="1" x14ac:dyDescent="0.25">
      <c r="A998" s="88"/>
      <c r="B998" s="88"/>
    </row>
    <row r="999" spans="1:2" ht="15.75" thickBot="1" x14ac:dyDescent="0.25">
      <c r="A999" s="88"/>
      <c r="B999" s="88"/>
    </row>
    <row r="1000" spans="1:2" ht="15.75" thickBot="1" x14ac:dyDescent="0.25">
      <c r="A1000" s="88"/>
      <c r="B1000" s="88"/>
    </row>
    <row r="1001" spans="1:2" ht="15.75" thickBot="1" x14ac:dyDescent="0.25">
      <c r="A1001" s="88"/>
      <c r="B1001" s="88"/>
    </row>
    <row r="1002" spans="1:2" ht="15.75" thickBot="1" x14ac:dyDescent="0.25">
      <c r="A1002" s="88"/>
      <c r="B1002" s="88"/>
    </row>
    <row r="1003" spans="1:2" ht="15.75" thickBot="1" x14ac:dyDescent="0.25">
      <c r="A1003" s="88"/>
      <c r="B1003" s="88"/>
    </row>
  </sheetData>
  <autoFilter ref="A2:B1003" xr:uid="{5FB3DC1C-FBBF-4397-BE95-CAF7F6122F60}">
    <sortState xmlns:xlrd2="http://schemas.microsoft.com/office/spreadsheetml/2017/richdata2" ref="A3:B1003">
      <sortCondition ref="A2:A1003"/>
    </sortState>
  </autoFilter>
  <sortState xmlns:xlrd2="http://schemas.microsoft.com/office/spreadsheetml/2017/richdata2" ref="A2:B69">
    <sortCondition ref="A2:A69"/>
  </sortState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30DB-539D-4671-B693-1FD9022AF1AD}">
  <dimension ref="A1:D21"/>
  <sheetViews>
    <sheetView workbookViewId="0">
      <selection activeCell="A22" sqref="A22"/>
    </sheetView>
  </sheetViews>
  <sheetFormatPr defaultRowHeight="15" x14ac:dyDescent="0.2"/>
  <cols>
    <col min="1" max="1" width="25.15234375" customWidth="1"/>
    <col min="2" max="2" width="33.359375" customWidth="1"/>
    <col min="3" max="3" width="30.9375" customWidth="1"/>
    <col min="4" max="4" width="38.60546875" customWidth="1"/>
  </cols>
  <sheetData>
    <row r="1" spans="1:4" ht="18.75" x14ac:dyDescent="0.25">
      <c r="A1" s="8" t="s">
        <v>397</v>
      </c>
      <c r="B1" s="8" t="s">
        <v>398</v>
      </c>
      <c r="C1" s="8" t="s">
        <v>38</v>
      </c>
      <c r="D1" s="8" t="s">
        <v>399</v>
      </c>
    </row>
    <row r="2" spans="1:4" x14ac:dyDescent="0.2">
      <c r="A2" t="s">
        <v>400</v>
      </c>
      <c r="B2" t="s">
        <v>401</v>
      </c>
      <c r="C2" s="26" t="s">
        <v>402</v>
      </c>
    </row>
    <row r="3" spans="1:4" x14ac:dyDescent="0.2">
      <c r="A3" t="s">
        <v>403</v>
      </c>
      <c r="B3" t="s">
        <v>404</v>
      </c>
      <c r="C3" s="26" t="s">
        <v>405</v>
      </c>
    </row>
    <row r="4" spans="1:4" x14ac:dyDescent="0.2">
      <c r="A4" t="s">
        <v>406</v>
      </c>
      <c r="B4" t="s">
        <v>407</v>
      </c>
      <c r="C4" s="26" t="s">
        <v>408</v>
      </c>
    </row>
    <row r="5" spans="1:4" x14ac:dyDescent="0.2">
      <c r="A5" t="s">
        <v>409</v>
      </c>
      <c r="B5" t="s">
        <v>410</v>
      </c>
      <c r="C5" s="26" t="s">
        <v>411</v>
      </c>
    </row>
    <row r="6" spans="1:4" x14ac:dyDescent="0.2">
      <c r="A6" t="s">
        <v>412</v>
      </c>
      <c r="C6" s="32"/>
    </row>
    <row r="7" spans="1:4" x14ac:dyDescent="0.2">
      <c r="A7" t="s">
        <v>413</v>
      </c>
      <c r="B7" s="4"/>
      <c r="C7" s="26" t="s">
        <v>414</v>
      </c>
    </row>
    <row r="8" spans="1:4" x14ac:dyDescent="0.2">
      <c r="A8" t="s">
        <v>415</v>
      </c>
      <c r="B8" t="s">
        <v>416</v>
      </c>
      <c r="C8" s="26" t="s">
        <v>417</v>
      </c>
      <c r="D8" s="4" t="s">
        <v>418</v>
      </c>
    </row>
    <row r="9" spans="1:4" x14ac:dyDescent="0.2">
      <c r="A9" t="s">
        <v>419</v>
      </c>
      <c r="C9" s="26" t="s">
        <v>420</v>
      </c>
    </row>
    <row r="10" spans="1:4" x14ac:dyDescent="0.2">
      <c r="A10" t="s">
        <v>134</v>
      </c>
      <c r="B10" t="s">
        <v>421</v>
      </c>
      <c r="C10" s="26" t="s">
        <v>135</v>
      </c>
    </row>
    <row r="11" spans="1:4" x14ac:dyDescent="0.2">
      <c r="A11" t="s">
        <v>25</v>
      </c>
      <c r="B11" t="s">
        <v>422</v>
      </c>
      <c r="C11" s="26" t="s">
        <v>347</v>
      </c>
    </row>
    <row r="12" spans="1:4" x14ac:dyDescent="0.2">
      <c r="A12" s="12" t="s">
        <v>171</v>
      </c>
      <c r="B12" t="s">
        <v>172</v>
      </c>
      <c r="C12" s="26" t="s">
        <v>173</v>
      </c>
    </row>
    <row r="13" spans="1:4" x14ac:dyDescent="0.2">
      <c r="A13" s="12" t="s">
        <v>320</v>
      </c>
      <c r="B13" t="s">
        <v>321</v>
      </c>
      <c r="C13" s="26" t="s">
        <v>322</v>
      </c>
    </row>
    <row r="14" spans="1:4" x14ac:dyDescent="0.2">
      <c r="A14" s="12" t="s">
        <v>385</v>
      </c>
      <c r="C14" s="26"/>
    </row>
    <row r="15" spans="1:4" x14ac:dyDescent="0.2">
      <c r="A15" s="12" t="s">
        <v>26</v>
      </c>
      <c r="B15" t="s">
        <v>132</v>
      </c>
      <c r="C15" s="26" t="s">
        <v>133</v>
      </c>
    </row>
    <row r="18" spans="1:1" x14ac:dyDescent="0.2">
      <c r="A18" s="47" t="s">
        <v>671</v>
      </c>
    </row>
    <row r="19" spans="1:1" x14ac:dyDescent="0.2">
      <c r="A19" s="12" t="s">
        <v>672</v>
      </c>
    </row>
    <row r="20" spans="1:1" x14ac:dyDescent="0.2">
      <c r="A20" s="12" t="s">
        <v>673</v>
      </c>
    </row>
    <row r="21" spans="1:1" x14ac:dyDescent="0.2">
      <c r="A21" t="s">
        <v>674</v>
      </c>
    </row>
  </sheetData>
  <hyperlinks>
    <hyperlink ref="C2" r:id="rId1" xr:uid="{5FD68C8B-54DD-4BF6-91B1-83EBF3971B60}"/>
    <hyperlink ref="C3" r:id="rId2" xr:uid="{92910E58-C029-4E9D-93D2-E81C4E2128E8}"/>
    <hyperlink ref="C5" r:id="rId3" xr:uid="{6D8D568E-BB09-4EEF-8108-76745B4448A7}"/>
    <hyperlink ref="D8" r:id="rId4" xr:uid="{98A26897-29D8-4544-8134-FEFC892DA2BE}"/>
    <hyperlink ref="C7" r:id="rId5" xr:uid="{6A6AD08F-8486-493C-93C1-0A13860D3665}"/>
    <hyperlink ref="C8" r:id="rId6" xr:uid="{20954CD9-3669-4B8F-847C-6AF06CEC283F}"/>
    <hyperlink ref="C4" r:id="rId7" xr:uid="{016AE7D7-CEFD-46B6-A6B8-34A4A7678F6D}"/>
    <hyperlink ref="C9" r:id="rId8" xr:uid="{2C69B4F8-AD74-4A80-AE68-3D7E7D9FE1DF}"/>
    <hyperlink ref="C10" r:id="rId9" xr:uid="{1D78835C-83D9-4538-8973-8E1AD60EA59A}"/>
    <hyperlink ref="C11" r:id="rId10" xr:uid="{9CC84F6A-2D79-4686-AF15-CCD4BC98A409}"/>
    <hyperlink ref="C12" r:id="rId11" xr:uid="{30FA6D25-2CEC-4F94-8D00-FD921EEA3F6B}"/>
    <hyperlink ref="C13" r:id="rId12" xr:uid="{B89C3E8D-0D63-490A-96E2-B83AFA5DD12F}"/>
    <hyperlink ref="C15" r:id="rId13" xr:uid="{281E0888-BE15-4FF1-808D-7593C29BF9E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6788-8FD0-4237-B9E8-1743D14FCF32}">
  <dimension ref="A1:E61"/>
  <sheetViews>
    <sheetView topLeftCell="A27" workbookViewId="0">
      <selection activeCell="K55" sqref="K55"/>
    </sheetView>
  </sheetViews>
  <sheetFormatPr defaultRowHeight="15" x14ac:dyDescent="0.2"/>
  <cols>
    <col min="1" max="1" width="9.68359375" bestFit="1" customWidth="1"/>
    <col min="2" max="2" width="48.6953125" customWidth="1"/>
    <col min="3" max="3" width="11.296875" style="2" customWidth="1"/>
    <col min="4" max="4" width="15.19921875" style="2" customWidth="1"/>
    <col min="5" max="5" width="9.14453125" style="2"/>
  </cols>
  <sheetData>
    <row r="1" spans="1:5" ht="15.75" thickBot="1" x14ac:dyDescent="0.25">
      <c r="A1" s="151" t="s">
        <v>645</v>
      </c>
      <c r="B1" s="151"/>
      <c r="C1" s="151"/>
      <c r="D1" s="151"/>
      <c r="E1" s="151"/>
    </row>
    <row r="2" spans="1:5" ht="15.75" thickBot="1" x14ac:dyDescent="0.25">
      <c r="A2" s="48" t="s">
        <v>36</v>
      </c>
      <c r="B2" s="49" t="s">
        <v>35</v>
      </c>
      <c r="C2" s="49" t="s">
        <v>32</v>
      </c>
      <c r="D2" s="49" t="s">
        <v>33</v>
      </c>
      <c r="E2" s="49" t="s">
        <v>34</v>
      </c>
    </row>
    <row r="3" spans="1:5" ht="15.75" thickBot="1" x14ac:dyDescent="0.25">
      <c r="A3" s="50">
        <v>45294</v>
      </c>
      <c r="B3" s="51" t="s">
        <v>71</v>
      </c>
      <c r="C3" s="52">
        <v>250</v>
      </c>
      <c r="D3" s="51"/>
      <c r="E3" s="52">
        <v>250</v>
      </c>
    </row>
    <row r="4" spans="1:5" ht="15.75" thickBot="1" x14ac:dyDescent="0.25">
      <c r="A4" s="50">
        <v>45320</v>
      </c>
      <c r="B4" s="51" t="s">
        <v>70</v>
      </c>
      <c r="C4" s="52">
        <v>498.71</v>
      </c>
      <c r="D4" s="51"/>
      <c r="E4" s="52">
        <v>748.71</v>
      </c>
    </row>
    <row r="5" spans="1:5" ht="15.75" thickBot="1" x14ac:dyDescent="0.25">
      <c r="A5" s="50">
        <v>45321</v>
      </c>
      <c r="B5" s="51" t="s">
        <v>72</v>
      </c>
      <c r="C5" s="51"/>
      <c r="D5" s="52">
        <v>222.44</v>
      </c>
      <c r="E5" s="52">
        <v>526.27</v>
      </c>
    </row>
    <row r="6" spans="1:5" ht="15.75" thickBot="1" x14ac:dyDescent="0.25">
      <c r="A6" s="50">
        <v>45325</v>
      </c>
      <c r="B6" s="51" t="s">
        <v>459</v>
      </c>
      <c r="C6" s="51"/>
      <c r="D6" s="52">
        <v>35.06</v>
      </c>
      <c r="E6" s="52">
        <v>491.21</v>
      </c>
    </row>
    <row r="7" spans="1:5" ht="15.75" thickBot="1" x14ac:dyDescent="0.25">
      <c r="A7" s="50">
        <v>45341</v>
      </c>
      <c r="B7" s="51" t="s">
        <v>454</v>
      </c>
      <c r="C7" s="52">
        <v>125</v>
      </c>
      <c r="D7" s="51"/>
      <c r="E7" s="52">
        <v>616.21</v>
      </c>
    </row>
    <row r="8" spans="1:5" ht="15.75" thickBot="1" x14ac:dyDescent="0.25">
      <c r="A8" s="50">
        <v>45345</v>
      </c>
      <c r="B8" s="51" t="s">
        <v>27</v>
      </c>
      <c r="C8" s="52">
        <v>250</v>
      </c>
      <c r="D8" s="51"/>
      <c r="E8" s="52">
        <v>866.21</v>
      </c>
    </row>
    <row r="9" spans="1:5" ht="15.75" thickBot="1" x14ac:dyDescent="0.25">
      <c r="A9" s="50">
        <v>45345</v>
      </c>
      <c r="B9" s="51" t="s">
        <v>460</v>
      </c>
      <c r="C9" s="51"/>
      <c r="D9" s="52">
        <v>42.9</v>
      </c>
      <c r="E9" s="52">
        <v>823.31</v>
      </c>
    </row>
    <row r="10" spans="1:5" ht="15.75" thickBot="1" x14ac:dyDescent="0.25">
      <c r="A10" s="50">
        <v>45362</v>
      </c>
      <c r="B10" s="51" t="s">
        <v>480</v>
      </c>
      <c r="C10" s="51"/>
      <c r="D10" s="52">
        <v>379</v>
      </c>
      <c r="E10" s="52">
        <v>444.31</v>
      </c>
    </row>
    <row r="11" spans="1:5" ht="15.75" thickBot="1" x14ac:dyDescent="0.25">
      <c r="A11" s="50">
        <v>45369</v>
      </c>
      <c r="B11" s="51" t="s">
        <v>643</v>
      </c>
      <c r="C11" s="51"/>
      <c r="D11" s="52">
        <v>15.36</v>
      </c>
      <c r="E11" s="52">
        <v>428.95</v>
      </c>
    </row>
    <row r="12" spans="1:5" ht="15.75" thickBot="1" x14ac:dyDescent="0.25">
      <c r="A12" s="50">
        <v>45386</v>
      </c>
      <c r="B12" s="51" t="s">
        <v>644</v>
      </c>
      <c r="C12" s="51"/>
      <c r="D12" s="52">
        <v>44.52</v>
      </c>
      <c r="E12" s="52">
        <v>384.43</v>
      </c>
    </row>
    <row r="13" spans="1:5" ht="15.75" thickBot="1" x14ac:dyDescent="0.25">
      <c r="A13" s="50">
        <v>45386</v>
      </c>
      <c r="B13" s="51" t="s">
        <v>661</v>
      </c>
      <c r="C13" s="51"/>
      <c r="D13" s="52">
        <v>18.579999999999998</v>
      </c>
      <c r="E13" s="52">
        <v>365.85</v>
      </c>
    </row>
    <row r="14" spans="1:5" ht="15.75" thickBot="1" x14ac:dyDescent="0.25">
      <c r="A14" s="50">
        <v>45387</v>
      </c>
      <c r="B14" s="51" t="s">
        <v>642</v>
      </c>
      <c r="C14" s="51"/>
      <c r="D14" s="52">
        <v>10</v>
      </c>
      <c r="E14" s="52">
        <v>355.85</v>
      </c>
    </row>
    <row r="15" spans="1:5" ht="15.75" thickBot="1" x14ac:dyDescent="0.25">
      <c r="A15" s="53"/>
      <c r="B15" s="54" t="s">
        <v>58</v>
      </c>
      <c r="C15" s="55">
        <v>1123.71</v>
      </c>
      <c r="D15" s="55">
        <v>767.83</v>
      </c>
      <c r="E15" s="55">
        <v>355.85</v>
      </c>
    </row>
    <row r="16" spans="1:5" ht="16.5" thickTop="1" thickBot="1" x14ac:dyDescent="0.25">
      <c r="A16" s="56"/>
      <c r="B16" s="56"/>
      <c r="C16" s="56"/>
      <c r="D16" s="56"/>
      <c r="E16" s="56"/>
    </row>
    <row r="17" spans="1:5" ht="15.75" customHeight="1" thickBot="1" x14ac:dyDescent="0.25">
      <c r="A17" s="152" t="s">
        <v>668</v>
      </c>
      <c r="B17" s="153"/>
      <c r="C17" s="153"/>
      <c r="D17" s="153"/>
      <c r="E17" s="154"/>
    </row>
    <row r="18" spans="1:5" ht="15.75" thickBot="1" x14ac:dyDescent="0.25">
      <c r="A18" s="57"/>
      <c r="B18" s="51"/>
      <c r="C18" s="58" t="s">
        <v>32</v>
      </c>
      <c r="D18" s="59" t="s">
        <v>33</v>
      </c>
      <c r="E18" s="61" t="s">
        <v>34</v>
      </c>
    </row>
    <row r="19" spans="1:5" ht="15.75" thickBot="1" x14ac:dyDescent="0.25">
      <c r="A19" s="50">
        <v>45630</v>
      </c>
      <c r="B19" s="51" t="s">
        <v>679</v>
      </c>
      <c r="C19" s="51"/>
      <c r="D19" s="51"/>
      <c r="E19" s="52">
        <v>355.85</v>
      </c>
    </row>
    <row r="20" spans="1:5" ht="15.75" thickBot="1" x14ac:dyDescent="0.25">
      <c r="A20" s="50">
        <v>45632</v>
      </c>
      <c r="B20" s="51" t="s">
        <v>669</v>
      </c>
      <c r="C20" s="52">
        <v>125</v>
      </c>
      <c r="D20" s="51"/>
      <c r="E20" s="52">
        <v>480.85</v>
      </c>
    </row>
    <row r="21" spans="1:5" ht="15.75" thickBot="1" x14ac:dyDescent="0.25">
      <c r="A21" s="50">
        <v>45632</v>
      </c>
      <c r="B21" s="51" t="s">
        <v>670</v>
      </c>
      <c r="C21" s="52">
        <v>1.3</v>
      </c>
      <c r="D21" s="51"/>
      <c r="E21" s="52">
        <v>482.15</v>
      </c>
    </row>
    <row r="22" spans="1:5" ht="15.75" thickBot="1" x14ac:dyDescent="0.25">
      <c r="A22" s="50">
        <v>45667</v>
      </c>
      <c r="B22" s="51" t="s">
        <v>330</v>
      </c>
      <c r="C22" s="52">
        <v>150</v>
      </c>
      <c r="D22" s="51"/>
      <c r="E22" s="52">
        <v>632.15</v>
      </c>
    </row>
    <row r="23" spans="1:5" ht="15.75" thickBot="1" x14ac:dyDescent="0.25">
      <c r="A23" s="50">
        <v>45670</v>
      </c>
      <c r="B23" s="51" t="s">
        <v>675</v>
      </c>
      <c r="C23" s="51"/>
      <c r="D23" s="52">
        <v>7.5</v>
      </c>
      <c r="E23" s="52">
        <v>624.65</v>
      </c>
    </row>
    <row r="24" spans="1:5" ht="15.75" thickBot="1" x14ac:dyDescent="0.25">
      <c r="A24" s="50">
        <v>45697</v>
      </c>
      <c r="B24" s="51" t="s">
        <v>680</v>
      </c>
      <c r="C24" s="52">
        <v>250</v>
      </c>
      <c r="D24" s="51"/>
      <c r="E24" s="52">
        <v>874.65</v>
      </c>
    </row>
    <row r="25" spans="1:5" ht="15.75" thickBot="1" x14ac:dyDescent="0.25">
      <c r="A25" s="50">
        <v>45697</v>
      </c>
      <c r="B25" s="51" t="s">
        <v>681</v>
      </c>
      <c r="C25" s="52">
        <v>125</v>
      </c>
      <c r="D25" s="51"/>
      <c r="E25" s="52">
        <v>999.65</v>
      </c>
    </row>
    <row r="26" spans="1:5" ht="28.5" thickBot="1" x14ac:dyDescent="0.25">
      <c r="A26" s="50">
        <v>45715</v>
      </c>
      <c r="B26" s="51" t="s">
        <v>682</v>
      </c>
      <c r="C26" s="51"/>
      <c r="D26" s="52">
        <v>170.28</v>
      </c>
      <c r="E26" s="52">
        <v>829.37</v>
      </c>
    </row>
    <row r="27" spans="1:5" ht="15.75" thickBot="1" x14ac:dyDescent="0.25">
      <c r="A27" s="50">
        <v>45715</v>
      </c>
      <c r="B27" s="51" t="s">
        <v>683</v>
      </c>
      <c r="C27" s="51"/>
      <c r="D27" s="52">
        <v>3.69</v>
      </c>
      <c r="E27" s="52">
        <v>825.68</v>
      </c>
    </row>
    <row r="28" spans="1:5" ht="15.75" thickBot="1" x14ac:dyDescent="0.25">
      <c r="A28" s="50">
        <v>45719</v>
      </c>
      <c r="B28" s="51" t="s">
        <v>480</v>
      </c>
      <c r="C28" s="51"/>
      <c r="D28" s="52">
        <v>424</v>
      </c>
      <c r="E28" s="52">
        <v>401.68</v>
      </c>
    </row>
    <row r="29" spans="1:5" ht="15.75" thickBot="1" x14ac:dyDescent="0.25">
      <c r="A29" s="50">
        <v>45723</v>
      </c>
      <c r="B29" s="51" t="s">
        <v>684</v>
      </c>
      <c r="C29" s="51"/>
      <c r="D29" s="52">
        <v>8.7899999999999991</v>
      </c>
      <c r="E29" s="52">
        <v>392.89</v>
      </c>
    </row>
    <row r="30" spans="1:5" ht="15.75" thickBot="1" x14ac:dyDescent="0.25">
      <c r="A30" s="50">
        <v>45728</v>
      </c>
      <c r="B30" s="51" t="s">
        <v>685</v>
      </c>
      <c r="C30" s="51"/>
      <c r="D30" s="52">
        <v>25.42</v>
      </c>
      <c r="E30" s="52">
        <v>367.47</v>
      </c>
    </row>
    <row r="31" spans="1:5" ht="15.75" thickBot="1" x14ac:dyDescent="0.25">
      <c r="A31" s="50">
        <v>45730</v>
      </c>
      <c r="B31" s="51" t="s">
        <v>686</v>
      </c>
      <c r="C31" s="51"/>
      <c r="D31" s="52">
        <v>27.97</v>
      </c>
      <c r="E31" s="52">
        <v>339.5</v>
      </c>
    </row>
    <row r="32" spans="1:5" ht="15.75" thickBot="1" x14ac:dyDescent="0.25">
      <c r="A32" s="50">
        <v>45735</v>
      </c>
      <c r="B32" s="51" t="s">
        <v>686</v>
      </c>
      <c r="C32" s="51"/>
      <c r="D32" s="52">
        <v>27.97</v>
      </c>
      <c r="E32" s="52">
        <v>311.52999999999997</v>
      </c>
    </row>
    <row r="33" spans="1:5" ht="15.75" thickBot="1" x14ac:dyDescent="0.25">
      <c r="A33" s="50">
        <v>45735</v>
      </c>
      <c r="B33" s="51" t="s">
        <v>687</v>
      </c>
      <c r="C33" s="51"/>
      <c r="D33" s="52">
        <v>17.899999999999999</v>
      </c>
      <c r="E33" s="52">
        <v>293.63</v>
      </c>
    </row>
    <row r="34" spans="1:5" ht="15.75" thickBot="1" x14ac:dyDescent="0.25">
      <c r="A34" s="50">
        <v>45736</v>
      </c>
      <c r="B34" s="51" t="s">
        <v>688</v>
      </c>
      <c r="C34" s="51"/>
      <c r="D34" s="52">
        <v>27.18</v>
      </c>
      <c r="E34" s="52">
        <v>266.45</v>
      </c>
    </row>
    <row r="35" spans="1:5" ht="15.75" thickBot="1" x14ac:dyDescent="0.25">
      <c r="A35" s="50">
        <v>45737</v>
      </c>
      <c r="B35" s="51" t="s">
        <v>689</v>
      </c>
      <c r="C35" s="51"/>
      <c r="D35" s="52">
        <v>16.8</v>
      </c>
      <c r="E35" s="52">
        <v>249.65</v>
      </c>
    </row>
    <row r="36" spans="1:5" ht="15.75" thickBot="1" x14ac:dyDescent="0.25">
      <c r="A36" s="57"/>
      <c r="B36" s="62" t="s">
        <v>58</v>
      </c>
      <c r="C36" s="63">
        <v>651.29999999999995</v>
      </c>
      <c r="D36" s="63">
        <v>757.5</v>
      </c>
      <c r="E36" s="63">
        <v>249.65</v>
      </c>
    </row>
    <row r="37" spans="1:5" x14ac:dyDescent="0.2">
      <c r="A37" s="81"/>
      <c r="B37" s="81"/>
      <c r="C37" s="81"/>
      <c r="D37" s="81"/>
      <c r="E37" s="81"/>
    </row>
    <row r="38" spans="1:5" x14ac:dyDescent="0.2">
      <c r="A38" s="155" t="s">
        <v>816</v>
      </c>
      <c r="B38" s="155"/>
      <c r="C38" s="155"/>
      <c r="D38" s="155"/>
      <c r="E38" s="155"/>
    </row>
    <row r="39" spans="1:5" x14ac:dyDescent="0.2">
      <c r="A39" s="82">
        <v>45748</v>
      </c>
      <c r="B39" s="83" t="s">
        <v>817</v>
      </c>
      <c r="C39" s="84"/>
      <c r="D39" s="84"/>
      <c r="E39" s="84">
        <v>249.65</v>
      </c>
    </row>
    <row r="40" spans="1:5" x14ac:dyDescent="0.2">
      <c r="A40" s="82">
        <v>46041</v>
      </c>
      <c r="B40" s="83" t="s">
        <v>818</v>
      </c>
      <c r="C40" s="84">
        <v>125</v>
      </c>
      <c r="D40" s="84"/>
      <c r="E40" s="84">
        <f>SUM(E39+C40-D40)</f>
        <v>374.65</v>
      </c>
    </row>
    <row r="41" spans="1:5" x14ac:dyDescent="0.2">
      <c r="A41" s="82">
        <v>46063</v>
      </c>
      <c r="B41" s="83" t="s">
        <v>819</v>
      </c>
      <c r="C41" s="84">
        <v>250</v>
      </c>
      <c r="D41" s="84"/>
      <c r="E41" s="84">
        <f>SUM(E40+C41)</f>
        <v>624.65</v>
      </c>
    </row>
    <row r="42" spans="1:5" x14ac:dyDescent="0.2">
      <c r="A42" s="82">
        <v>46083</v>
      </c>
      <c r="B42" s="83" t="s">
        <v>25</v>
      </c>
      <c r="C42" s="84">
        <v>250</v>
      </c>
      <c r="D42" s="84"/>
      <c r="E42" s="84">
        <f t="shared" ref="E42:E45" si="0">SUM(E41+C42)</f>
        <v>874.65</v>
      </c>
    </row>
    <row r="43" spans="1:5" x14ac:dyDescent="0.2">
      <c r="A43" s="82">
        <v>46093</v>
      </c>
      <c r="B43" s="83" t="s">
        <v>820</v>
      </c>
      <c r="C43" s="84">
        <v>125</v>
      </c>
      <c r="D43" s="84"/>
      <c r="E43" s="84">
        <f t="shared" si="0"/>
        <v>999.65</v>
      </c>
    </row>
    <row r="44" spans="1:5" x14ac:dyDescent="0.2">
      <c r="A44" s="82">
        <v>46100</v>
      </c>
      <c r="B44" s="83" t="s">
        <v>821</v>
      </c>
      <c r="C44" s="84">
        <v>250</v>
      </c>
      <c r="D44" s="84"/>
      <c r="E44" s="84">
        <f t="shared" si="0"/>
        <v>1249.6500000000001</v>
      </c>
    </row>
    <row r="45" spans="1:5" x14ac:dyDescent="0.2">
      <c r="A45" s="82">
        <v>46100</v>
      </c>
      <c r="B45" s="83" t="s">
        <v>822</v>
      </c>
      <c r="C45" s="84">
        <v>500</v>
      </c>
      <c r="D45" s="84"/>
      <c r="E45" s="84">
        <f t="shared" si="0"/>
        <v>1749.65</v>
      </c>
    </row>
    <row r="46" spans="1:5" x14ac:dyDescent="0.2">
      <c r="A46" s="82">
        <v>46100</v>
      </c>
      <c r="B46" s="83" t="s">
        <v>464</v>
      </c>
      <c r="C46" s="84">
        <v>60</v>
      </c>
      <c r="D46" s="84"/>
      <c r="E46" s="84">
        <f>SUM(E45+C46-D46)</f>
        <v>1809.65</v>
      </c>
    </row>
    <row r="47" spans="1:5" x14ac:dyDescent="0.2">
      <c r="A47" s="82">
        <v>46125</v>
      </c>
      <c r="B47" s="83" t="s">
        <v>823</v>
      </c>
      <c r="C47" s="84"/>
      <c r="D47" s="84">
        <v>630</v>
      </c>
      <c r="E47" s="84">
        <f t="shared" ref="E47:E57" si="1">SUM(E46+C47-D47)</f>
        <v>1179.6500000000001</v>
      </c>
    </row>
    <row r="48" spans="1:5" x14ac:dyDescent="0.2">
      <c r="A48" s="82">
        <v>46080</v>
      </c>
      <c r="B48" s="83" t="s">
        <v>824</v>
      </c>
      <c r="C48" s="84"/>
      <c r="D48" s="84">
        <v>34.32</v>
      </c>
      <c r="E48" s="84">
        <f t="shared" si="1"/>
        <v>1145.3300000000002</v>
      </c>
    </row>
    <row r="49" spans="1:5" x14ac:dyDescent="0.2">
      <c r="A49" s="82">
        <v>46111</v>
      </c>
      <c r="B49" s="83" t="s">
        <v>825</v>
      </c>
      <c r="C49" s="84"/>
      <c r="D49" s="84">
        <v>12.16</v>
      </c>
      <c r="E49" s="84">
        <f t="shared" si="1"/>
        <v>1133.17</v>
      </c>
    </row>
    <row r="50" spans="1:5" x14ac:dyDescent="0.2">
      <c r="A50" s="82">
        <v>46111</v>
      </c>
      <c r="B50" s="83" t="s">
        <v>826</v>
      </c>
      <c r="C50" s="84"/>
      <c r="D50" s="84">
        <v>42.37</v>
      </c>
      <c r="E50" s="84">
        <f t="shared" si="1"/>
        <v>1090.8000000000002</v>
      </c>
    </row>
    <row r="51" spans="1:5" ht="15.75" customHeight="1" x14ac:dyDescent="0.2">
      <c r="A51" s="82">
        <v>46111</v>
      </c>
      <c r="B51" s="83" t="s">
        <v>827</v>
      </c>
      <c r="C51" s="84"/>
      <c r="D51" s="84">
        <v>197.61</v>
      </c>
      <c r="E51" s="84">
        <f t="shared" si="1"/>
        <v>893.19000000000017</v>
      </c>
    </row>
    <row r="52" spans="1:5" x14ac:dyDescent="0.2">
      <c r="A52" s="82">
        <v>46120</v>
      </c>
      <c r="B52" s="83" t="s">
        <v>828</v>
      </c>
      <c r="C52" s="84"/>
      <c r="D52" s="84">
        <v>33.89</v>
      </c>
      <c r="E52" s="84">
        <f t="shared" si="1"/>
        <v>859.30000000000018</v>
      </c>
    </row>
    <row r="53" spans="1:5" x14ac:dyDescent="0.2">
      <c r="A53" s="82">
        <v>46120</v>
      </c>
      <c r="B53" s="83" t="s">
        <v>829</v>
      </c>
      <c r="C53" s="84"/>
      <c r="D53" s="84">
        <v>66.75</v>
      </c>
      <c r="E53" s="84">
        <f t="shared" si="1"/>
        <v>792.55000000000018</v>
      </c>
    </row>
    <row r="54" spans="1:5" x14ac:dyDescent="0.2">
      <c r="A54" s="82">
        <v>46120</v>
      </c>
      <c r="B54" s="83" t="s">
        <v>830</v>
      </c>
      <c r="C54" s="84"/>
      <c r="D54" s="84">
        <v>42.35</v>
      </c>
      <c r="E54" s="84">
        <f t="shared" si="1"/>
        <v>750.20000000000016</v>
      </c>
    </row>
    <row r="55" spans="1:5" x14ac:dyDescent="0.2">
      <c r="A55" s="82">
        <v>46128</v>
      </c>
      <c r="B55" s="83" t="s">
        <v>831</v>
      </c>
      <c r="C55" s="84"/>
      <c r="D55" s="84">
        <v>174.99</v>
      </c>
      <c r="E55" s="84">
        <f t="shared" si="1"/>
        <v>575.21000000000015</v>
      </c>
    </row>
    <row r="56" spans="1:5" x14ac:dyDescent="0.2">
      <c r="A56" s="6"/>
      <c r="B56" s="6"/>
      <c r="C56" s="84"/>
      <c r="D56" s="84"/>
      <c r="E56" s="84">
        <f t="shared" si="1"/>
        <v>575.21000000000015</v>
      </c>
    </row>
    <row r="57" spans="1:5" x14ac:dyDescent="0.2">
      <c r="A57" s="6"/>
      <c r="B57" s="6"/>
      <c r="C57" s="84"/>
      <c r="D57" s="84"/>
      <c r="E57" s="84">
        <f t="shared" si="1"/>
        <v>575.21000000000015</v>
      </c>
    </row>
    <row r="58" spans="1:5" x14ac:dyDescent="0.2">
      <c r="A58" s="6"/>
      <c r="B58" s="6"/>
      <c r="C58" s="84"/>
      <c r="D58" s="84"/>
      <c r="E58" s="84"/>
    </row>
    <row r="59" spans="1:5" x14ac:dyDescent="0.2">
      <c r="A59" s="6"/>
      <c r="B59" s="6"/>
      <c r="C59" s="84"/>
      <c r="D59" s="84"/>
      <c r="E59" s="84"/>
    </row>
    <row r="60" spans="1:5" x14ac:dyDescent="0.2">
      <c r="A60" s="6"/>
      <c r="B60" s="6"/>
      <c r="C60" s="84"/>
      <c r="D60" s="84"/>
      <c r="E60" s="84"/>
    </row>
    <row r="61" spans="1:5" x14ac:dyDescent="0.2">
      <c r="A61" s="6"/>
      <c r="B61" s="6"/>
      <c r="C61" s="84"/>
      <c r="D61" s="84"/>
      <c r="E61" s="84"/>
    </row>
  </sheetData>
  <mergeCells count="3">
    <mergeCell ref="A1:E1"/>
    <mergeCell ref="A17:E17"/>
    <mergeCell ref="A38:E3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B0D8-6B71-415C-8CC5-8D440C234D83}">
  <dimension ref="A1:F47"/>
  <sheetViews>
    <sheetView workbookViewId="0">
      <selection activeCell="E8" sqref="E8"/>
    </sheetView>
  </sheetViews>
  <sheetFormatPr defaultRowHeight="15" x14ac:dyDescent="0.2"/>
  <cols>
    <col min="1" max="1" width="20.17578125" bestFit="1" customWidth="1"/>
    <col min="2" max="2" width="58.3828125" bestFit="1" customWidth="1"/>
    <col min="3" max="3" width="36.3203125" customWidth="1"/>
    <col min="4" max="4" width="19.37109375" customWidth="1"/>
    <col min="5" max="5" width="96.453125" customWidth="1"/>
    <col min="6" max="6" width="65.64453125" customWidth="1"/>
  </cols>
  <sheetData>
    <row r="1" spans="1:6" x14ac:dyDescent="0.2">
      <c r="A1" s="156" t="s">
        <v>40</v>
      </c>
      <c r="B1" s="156"/>
      <c r="C1" s="156"/>
      <c r="D1" s="156"/>
      <c r="E1" s="156"/>
    </row>
    <row r="2" spans="1:6" x14ac:dyDescent="0.2">
      <c r="A2" s="3" t="s">
        <v>7</v>
      </c>
      <c r="B2" s="3" t="s">
        <v>46</v>
      </c>
      <c r="C2" s="3" t="s">
        <v>38</v>
      </c>
      <c r="D2" s="3" t="s">
        <v>41</v>
      </c>
      <c r="E2" s="3" t="s">
        <v>39</v>
      </c>
      <c r="F2" s="1" t="s">
        <v>44</v>
      </c>
    </row>
    <row r="3" spans="1:6" x14ac:dyDescent="0.2">
      <c r="A3" t="s">
        <v>42</v>
      </c>
      <c r="B3" t="s">
        <v>47</v>
      </c>
      <c r="C3" s="4" t="s">
        <v>43</v>
      </c>
      <c r="F3" s="4" t="s">
        <v>45</v>
      </c>
    </row>
    <row r="4" spans="1:6" x14ac:dyDescent="0.2">
      <c r="B4" t="s">
        <v>59</v>
      </c>
      <c r="E4" t="s">
        <v>833</v>
      </c>
    </row>
    <row r="5" spans="1:6" x14ac:dyDescent="0.2">
      <c r="B5" t="s">
        <v>60</v>
      </c>
    </row>
    <row r="6" spans="1:6" x14ac:dyDescent="0.2">
      <c r="B6" t="s">
        <v>61</v>
      </c>
    </row>
    <row r="7" spans="1:6" x14ac:dyDescent="0.2">
      <c r="B7" t="s">
        <v>62</v>
      </c>
      <c r="C7" s="4" t="s">
        <v>832</v>
      </c>
      <c r="E7" t="s">
        <v>834</v>
      </c>
    </row>
    <row r="8" spans="1:6" x14ac:dyDescent="0.2">
      <c r="B8" t="s">
        <v>63</v>
      </c>
      <c r="E8" t="s">
        <v>37</v>
      </c>
    </row>
    <row r="9" spans="1:6" x14ac:dyDescent="0.2">
      <c r="B9" t="s">
        <v>64</v>
      </c>
      <c r="C9" t="s">
        <v>37</v>
      </c>
      <c r="F9" t="s">
        <v>37</v>
      </c>
    </row>
    <row r="10" spans="1:6" x14ac:dyDescent="0.2">
      <c r="B10" t="s">
        <v>65</v>
      </c>
      <c r="C10" t="s">
        <v>37</v>
      </c>
    </row>
    <row r="11" spans="1:6" x14ac:dyDescent="0.2">
      <c r="A11" t="s">
        <v>425</v>
      </c>
      <c r="B11" t="s">
        <v>423</v>
      </c>
      <c r="C11" s="4" t="s">
        <v>424</v>
      </c>
      <c r="E11" t="s">
        <v>431</v>
      </c>
    </row>
    <row r="12" spans="1:6" x14ac:dyDescent="0.2">
      <c r="A12" t="s">
        <v>804</v>
      </c>
      <c r="B12" t="s">
        <v>66</v>
      </c>
      <c r="C12" s="4"/>
      <c r="E12" t="s">
        <v>431</v>
      </c>
      <c r="F12" t="s">
        <v>37</v>
      </c>
    </row>
    <row r="13" spans="1:6" x14ac:dyDescent="0.2">
      <c r="A13" t="s">
        <v>805</v>
      </c>
      <c r="B13" t="s">
        <v>67</v>
      </c>
    </row>
    <row r="14" spans="1:6" x14ac:dyDescent="0.2">
      <c r="B14" t="s">
        <v>68</v>
      </c>
    </row>
    <row r="15" spans="1:6" x14ac:dyDescent="0.2">
      <c r="B15" t="s">
        <v>69</v>
      </c>
    </row>
    <row r="16" spans="1:6" x14ac:dyDescent="0.2">
      <c r="A16" t="s">
        <v>486</v>
      </c>
      <c r="B16" t="s">
        <v>455</v>
      </c>
      <c r="C16" s="4" t="s">
        <v>280</v>
      </c>
      <c r="E16" t="s">
        <v>431</v>
      </c>
    </row>
    <row r="17" spans="1:5" x14ac:dyDescent="0.2">
      <c r="B17" t="s">
        <v>451</v>
      </c>
      <c r="C17" s="4" t="s">
        <v>485</v>
      </c>
      <c r="E17" t="s">
        <v>431</v>
      </c>
    </row>
    <row r="18" spans="1:5" x14ac:dyDescent="0.2">
      <c r="B18" t="s">
        <v>452</v>
      </c>
      <c r="E18" t="s">
        <v>806</v>
      </c>
    </row>
    <row r="19" spans="1:5" x14ac:dyDescent="0.2">
      <c r="B19" t="s">
        <v>453</v>
      </c>
    </row>
    <row r="20" spans="1:5" x14ac:dyDescent="0.2">
      <c r="A20" t="s">
        <v>482</v>
      </c>
      <c r="B20" t="s">
        <v>481</v>
      </c>
      <c r="C20" s="4" t="s">
        <v>483</v>
      </c>
      <c r="D20" t="s">
        <v>484</v>
      </c>
      <c r="E20" t="s">
        <v>431</v>
      </c>
    </row>
    <row r="21" spans="1:5" x14ac:dyDescent="0.2">
      <c r="A21" t="s">
        <v>639</v>
      </c>
      <c r="B21" t="s">
        <v>808</v>
      </c>
      <c r="C21" s="4" t="s">
        <v>638</v>
      </c>
      <c r="E21" t="s">
        <v>431</v>
      </c>
    </row>
    <row r="22" spans="1:5" x14ac:dyDescent="0.2">
      <c r="B22" t="s">
        <v>616</v>
      </c>
    </row>
    <row r="23" spans="1:5" x14ac:dyDescent="0.2">
      <c r="B23" t="s">
        <v>617</v>
      </c>
    </row>
    <row r="24" spans="1:5" x14ac:dyDescent="0.2">
      <c r="A24" t="s">
        <v>809</v>
      </c>
      <c r="B24" t="s">
        <v>618</v>
      </c>
      <c r="C24" t="s">
        <v>810</v>
      </c>
    </row>
    <row r="25" spans="1:5" x14ac:dyDescent="0.2">
      <c r="B25" t="s">
        <v>619</v>
      </c>
    </row>
    <row r="26" spans="1:5" x14ac:dyDescent="0.2">
      <c r="B26" t="s">
        <v>620</v>
      </c>
    </row>
    <row r="27" spans="1:5" x14ac:dyDescent="0.2">
      <c r="B27" t="s">
        <v>621</v>
      </c>
    </row>
    <row r="28" spans="1:5" x14ac:dyDescent="0.2">
      <c r="A28" t="s">
        <v>812</v>
      </c>
      <c r="B28" t="s">
        <v>811</v>
      </c>
      <c r="C28" t="s">
        <v>813</v>
      </c>
    </row>
    <row r="29" spans="1:5" x14ac:dyDescent="0.2">
      <c r="B29" t="s">
        <v>622</v>
      </c>
    </row>
    <row r="30" spans="1:5" x14ac:dyDescent="0.2">
      <c r="B30" t="s">
        <v>612</v>
      </c>
    </row>
    <row r="31" spans="1:5" x14ac:dyDescent="0.2">
      <c r="B31" t="s">
        <v>613</v>
      </c>
    </row>
    <row r="32" spans="1:5" x14ac:dyDescent="0.2">
      <c r="B32" t="s">
        <v>614</v>
      </c>
    </row>
    <row r="33" spans="1:5" x14ac:dyDescent="0.2">
      <c r="B33" t="s">
        <v>615</v>
      </c>
    </row>
    <row r="34" spans="1:5" x14ac:dyDescent="0.2">
      <c r="A34" t="s">
        <v>627</v>
      </c>
      <c r="B34" t="s">
        <v>626</v>
      </c>
      <c r="C34" s="4" t="s">
        <v>628</v>
      </c>
      <c r="D34" t="s">
        <v>629</v>
      </c>
    </row>
    <row r="35" spans="1:5" x14ac:dyDescent="0.2">
      <c r="A35" t="s">
        <v>630</v>
      </c>
      <c r="B35" t="s">
        <v>632</v>
      </c>
      <c r="C35" s="4" t="s">
        <v>631</v>
      </c>
      <c r="E35" s="77" t="s">
        <v>807</v>
      </c>
    </row>
    <row r="36" spans="1:5" ht="15.75" thickBot="1" x14ac:dyDescent="0.25">
      <c r="E36" s="78"/>
    </row>
    <row r="37" spans="1:5" ht="20.25" thickBot="1" x14ac:dyDescent="0.25">
      <c r="B37" s="73" t="s">
        <v>744</v>
      </c>
      <c r="E37" s="78"/>
    </row>
    <row r="38" spans="1:5" ht="15.75" thickBot="1" x14ac:dyDescent="0.25">
      <c r="B38" s="56" t="s">
        <v>745</v>
      </c>
      <c r="E38" s="78"/>
    </row>
    <row r="39" spans="1:5" ht="15.75" thickBot="1" x14ac:dyDescent="0.25">
      <c r="B39" s="56" t="s">
        <v>746</v>
      </c>
      <c r="E39" s="77"/>
    </row>
    <row r="40" spans="1:5" ht="15.75" thickBot="1" x14ac:dyDescent="0.25">
      <c r="B40" s="56" t="s">
        <v>26</v>
      </c>
      <c r="E40" s="78"/>
    </row>
    <row r="41" spans="1:5" ht="15.75" thickBot="1" x14ac:dyDescent="0.25">
      <c r="B41" s="56" t="s">
        <v>747</v>
      </c>
      <c r="E41" s="78"/>
    </row>
    <row r="42" spans="1:5" ht="15.75" thickBot="1" x14ac:dyDescent="0.25">
      <c r="B42" s="56" t="s">
        <v>748</v>
      </c>
      <c r="E42" s="78"/>
    </row>
    <row r="43" spans="1:5" ht="15.75" thickBot="1" x14ac:dyDescent="0.25">
      <c r="B43" s="74" t="s">
        <v>749</v>
      </c>
    </row>
    <row r="44" spans="1:5" ht="15.75" thickBot="1" x14ac:dyDescent="0.25">
      <c r="B44" s="56" t="s">
        <v>750</v>
      </c>
    </row>
    <row r="45" spans="1:5" ht="15.75" thickBot="1" x14ac:dyDescent="0.25">
      <c r="B45" s="56" t="s">
        <v>751</v>
      </c>
    </row>
    <row r="46" spans="1:5" ht="15.75" thickBot="1" x14ac:dyDescent="0.25">
      <c r="B46" s="74" t="s">
        <v>752</v>
      </c>
    </row>
    <row r="47" spans="1:5" ht="15.75" thickBot="1" x14ac:dyDescent="0.25">
      <c r="B47" s="56" t="s">
        <v>753</v>
      </c>
    </row>
  </sheetData>
  <mergeCells count="1">
    <mergeCell ref="A1:E1"/>
  </mergeCells>
  <hyperlinks>
    <hyperlink ref="C3" r:id="rId1" xr:uid="{01AC127D-167C-4C66-BB48-96A9B09FDAF1}"/>
    <hyperlink ref="F3" r:id="rId2" xr:uid="{016C6768-E4B6-4577-922C-5F2CC8280D08}"/>
    <hyperlink ref="C11" r:id="rId3" xr:uid="{9F434839-B59A-4FF3-8EB9-BE7A7C824133}"/>
    <hyperlink ref="C20" r:id="rId4" xr:uid="{1DB9C93F-E713-442D-9724-B0892ED9589A}"/>
    <hyperlink ref="C16" r:id="rId5" xr:uid="{B65AE93B-80F4-46CC-822D-ED0AA9A21797}"/>
    <hyperlink ref="C34" r:id="rId6" xr:uid="{9084D69E-685C-437F-8F15-DFD3C02F08A9}"/>
    <hyperlink ref="C35" r:id="rId7" xr:uid="{4DD7D21C-8FF2-4AC9-896E-A077714EDEC8}"/>
    <hyperlink ref="C21" r:id="rId8" xr:uid="{80F44619-1867-495E-B293-99D9CE88A2D4}"/>
    <hyperlink ref="C17" r:id="rId9" xr:uid="{A5E4E46E-8200-410A-A7AD-BBA76718AFF9}"/>
    <hyperlink ref="C7" r:id="rId10" xr:uid="{A444C3E4-95A9-42EB-B33D-FF1A6AF52511}"/>
  </hyperlinks>
  <pageMargins left="0.7" right="0.7" top="0.75" bottom="0.75" header="0.3" footer="0.3"/>
  <pageSetup orientation="portrait" horizontalDpi="0" verticalDpi="0" r:id="rId1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52583-69A6-4EE5-9A04-F54DCE1B3E5E}">
  <sheetPr>
    <pageSetUpPr fitToPage="1"/>
  </sheetPr>
  <dimension ref="A1:E47"/>
  <sheetViews>
    <sheetView topLeftCell="A20" workbookViewId="0">
      <selection sqref="A1:E47"/>
    </sheetView>
  </sheetViews>
  <sheetFormatPr defaultRowHeight="15" x14ac:dyDescent="0.2"/>
  <cols>
    <col min="2" max="2" width="9.14453125" style="38"/>
    <col min="3" max="3" width="59.1875" bestFit="1" customWidth="1"/>
    <col min="4" max="4" width="18.0234375" bestFit="1" customWidth="1"/>
    <col min="5" max="5" width="17.62109375" bestFit="1" customWidth="1"/>
  </cols>
  <sheetData>
    <row r="1" spans="1:5" ht="21" x14ac:dyDescent="0.3">
      <c r="A1" s="157" t="s">
        <v>607</v>
      </c>
      <c r="B1" s="157"/>
      <c r="C1" s="157"/>
      <c r="D1" s="157"/>
      <c r="E1" s="157"/>
    </row>
    <row r="2" spans="1:5" x14ac:dyDescent="0.2">
      <c r="A2" s="5" t="s">
        <v>611</v>
      </c>
      <c r="B2" s="3" t="s">
        <v>608</v>
      </c>
      <c r="C2" s="5" t="s">
        <v>492</v>
      </c>
      <c r="D2" s="5" t="s">
        <v>493</v>
      </c>
      <c r="E2" s="5" t="s">
        <v>494</v>
      </c>
    </row>
    <row r="3" spans="1:5" x14ac:dyDescent="0.2">
      <c r="A3" s="6"/>
      <c r="B3" s="39">
        <v>23</v>
      </c>
      <c r="C3" s="6" t="s">
        <v>532</v>
      </c>
      <c r="D3" s="6" t="s">
        <v>533</v>
      </c>
      <c r="E3" s="6" t="s">
        <v>534</v>
      </c>
    </row>
    <row r="4" spans="1:5" x14ac:dyDescent="0.2">
      <c r="A4" s="6"/>
      <c r="B4" s="39">
        <v>2</v>
      </c>
      <c r="C4" s="6" t="s">
        <v>27</v>
      </c>
      <c r="D4" s="6" t="s">
        <v>542</v>
      </c>
      <c r="E4" s="6" t="s">
        <v>543</v>
      </c>
    </row>
    <row r="5" spans="1:5" x14ac:dyDescent="0.2">
      <c r="A5" s="6"/>
      <c r="B5" s="39">
        <v>19</v>
      </c>
      <c r="C5" s="6" t="s">
        <v>568</v>
      </c>
      <c r="D5" s="6" t="s">
        <v>569</v>
      </c>
      <c r="E5" s="6" t="s">
        <v>570</v>
      </c>
    </row>
    <row r="6" spans="1:5" x14ac:dyDescent="0.2">
      <c r="A6" s="6"/>
      <c r="B6" s="39">
        <v>31</v>
      </c>
      <c r="C6" s="6" t="s">
        <v>552</v>
      </c>
      <c r="D6" s="6" t="s">
        <v>553</v>
      </c>
      <c r="E6" s="6" t="s">
        <v>554</v>
      </c>
    </row>
    <row r="7" spans="1:5" x14ac:dyDescent="0.2">
      <c r="A7" s="6"/>
      <c r="B7" s="39">
        <v>12</v>
      </c>
      <c r="C7" s="6" t="s">
        <v>330</v>
      </c>
      <c r="D7" s="6" t="s">
        <v>540</v>
      </c>
      <c r="E7" s="6" t="s">
        <v>541</v>
      </c>
    </row>
    <row r="8" spans="1:5" x14ac:dyDescent="0.2">
      <c r="A8" s="6"/>
      <c r="B8" s="39">
        <v>3</v>
      </c>
      <c r="C8" s="6" t="s">
        <v>505</v>
      </c>
      <c r="D8" s="6" t="s">
        <v>506</v>
      </c>
      <c r="E8" s="6" t="s">
        <v>507</v>
      </c>
    </row>
    <row r="9" spans="1:5" x14ac:dyDescent="0.2">
      <c r="A9" s="6"/>
      <c r="B9" s="39">
        <v>45</v>
      </c>
      <c r="C9" s="6" t="s">
        <v>25</v>
      </c>
      <c r="D9" s="6" t="s">
        <v>422</v>
      </c>
      <c r="E9" s="6" t="s">
        <v>521</v>
      </c>
    </row>
    <row r="10" spans="1:5" x14ac:dyDescent="0.2">
      <c r="A10" s="6"/>
      <c r="B10" s="39">
        <v>22</v>
      </c>
      <c r="C10" s="6" t="s">
        <v>382</v>
      </c>
      <c r="D10" s="6" t="s">
        <v>550</v>
      </c>
      <c r="E10" s="6" t="s">
        <v>551</v>
      </c>
    </row>
    <row r="11" spans="1:5" x14ac:dyDescent="0.2">
      <c r="A11" s="6"/>
      <c r="B11" s="39">
        <v>18</v>
      </c>
      <c r="C11" s="6" t="s">
        <v>601</v>
      </c>
      <c r="D11" s="6" t="s">
        <v>602</v>
      </c>
      <c r="E11" s="6" t="s">
        <v>603</v>
      </c>
    </row>
    <row r="12" spans="1:5" x14ac:dyDescent="0.2">
      <c r="A12" s="6"/>
      <c r="B12" s="39">
        <v>29</v>
      </c>
      <c r="C12" s="6" t="s">
        <v>558</v>
      </c>
      <c r="D12" s="6" t="s">
        <v>559</v>
      </c>
      <c r="E12" s="6" t="s">
        <v>560</v>
      </c>
    </row>
    <row r="13" spans="1:5" x14ac:dyDescent="0.2">
      <c r="A13" s="6"/>
      <c r="B13" s="39">
        <v>4</v>
      </c>
      <c r="C13" s="6" t="s">
        <v>501</v>
      </c>
      <c r="D13" s="6" t="s">
        <v>502</v>
      </c>
      <c r="E13" s="6" t="s">
        <v>503</v>
      </c>
    </row>
    <row r="14" spans="1:5" x14ac:dyDescent="0.2">
      <c r="A14" s="6"/>
      <c r="B14" s="39">
        <v>1</v>
      </c>
      <c r="C14" s="6" t="s">
        <v>495</v>
      </c>
      <c r="D14" s="6" t="s">
        <v>496</v>
      </c>
      <c r="E14" s="6" t="s">
        <v>497</v>
      </c>
    </row>
    <row r="15" spans="1:5" x14ac:dyDescent="0.2">
      <c r="A15" s="6"/>
      <c r="B15" s="39">
        <v>41</v>
      </c>
      <c r="C15" s="6" t="s">
        <v>205</v>
      </c>
      <c r="D15" s="6" t="s">
        <v>596</v>
      </c>
      <c r="E15" s="6" t="s">
        <v>597</v>
      </c>
    </row>
    <row r="16" spans="1:5" x14ac:dyDescent="0.2">
      <c r="A16" s="6"/>
      <c r="B16" s="39">
        <v>13</v>
      </c>
      <c r="C16" s="6" t="s">
        <v>604</v>
      </c>
      <c r="D16" s="6" t="s">
        <v>605</v>
      </c>
      <c r="E16" s="6" t="s">
        <v>606</v>
      </c>
    </row>
    <row r="17" spans="1:5" x14ac:dyDescent="0.2">
      <c r="A17" s="6"/>
      <c r="B17" s="39">
        <v>35</v>
      </c>
      <c r="C17" s="6" t="s">
        <v>585</v>
      </c>
      <c r="D17" s="6" t="s">
        <v>586</v>
      </c>
      <c r="E17" s="6" t="s">
        <v>587</v>
      </c>
    </row>
    <row r="18" spans="1:5" x14ac:dyDescent="0.2">
      <c r="A18" s="6"/>
      <c r="B18" s="39">
        <v>26</v>
      </c>
      <c r="C18" s="6" t="s">
        <v>336</v>
      </c>
      <c r="D18" s="6" t="s">
        <v>513</v>
      </c>
      <c r="E18" s="6" t="s">
        <v>514</v>
      </c>
    </row>
    <row r="19" spans="1:5" x14ac:dyDescent="0.2">
      <c r="A19" s="6"/>
      <c r="B19" s="39">
        <v>32</v>
      </c>
      <c r="C19" s="6" t="s">
        <v>388</v>
      </c>
      <c r="D19" s="6" t="s">
        <v>544</v>
      </c>
      <c r="E19" s="6" t="s">
        <v>545</v>
      </c>
    </row>
    <row r="20" spans="1:5" x14ac:dyDescent="0.2">
      <c r="A20" s="6"/>
      <c r="B20" s="39">
        <v>24</v>
      </c>
      <c r="C20" s="6" t="s">
        <v>498</v>
      </c>
      <c r="D20" s="6" t="s">
        <v>499</v>
      </c>
      <c r="E20" s="6" t="s">
        <v>500</v>
      </c>
    </row>
    <row r="21" spans="1:5" x14ac:dyDescent="0.2">
      <c r="A21" s="6"/>
      <c r="B21" s="39">
        <v>37</v>
      </c>
      <c r="C21" s="6" t="s">
        <v>333</v>
      </c>
      <c r="D21" s="6" t="s">
        <v>511</v>
      </c>
      <c r="E21" s="6" t="s">
        <v>512</v>
      </c>
    </row>
    <row r="22" spans="1:5" x14ac:dyDescent="0.2">
      <c r="A22" s="6"/>
      <c r="B22" s="39">
        <v>36</v>
      </c>
      <c r="C22" s="6" t="s">
        <v>598</v>
      </c>
      <c r="D22" s="6" t="s">
        <v>599</v>
      </c>
      <c r="E22" s="6" t="s">
        <v>600</v>
      </c>
    </row>
    <row r="23" spans="1:5" x14ac:dyDescent="0.2">
      <c r="A23" s="6"/>
      <c r="B23" s="39">
        <v>34</v>
      </c>
      <c r="C23" s="6" t="s">
        <v>555</v>
      </c>
      <c r="D23" s="6" t="s">
        <v>556</v>
      </c>
      <c r="E23" s="6" t="s">
        <v>557</v>
      </c>
    </row>
    <row r="24" spans="1:5" x14ac:dyDescent="0.2">
      <c r="A24" s="6"/>
      <c r="B24" s="39">
        <v>5</v>
      </c>
      <c r="C24" s="6" t="s">
        <v>504</v>
      </c>
      <c r="D24" s="6" t="s">
        <v>502</v>
      </c>
      <c r="E24" s="6" t="s">
        <v>503</v>
      </c>
    </row>
    <row r="25" spans="1:5" x14ac:dyDescent="0.2">
      <c r="A25" s="6"/>
      <c r="B25" s="39">
        <v>21</v>
      </c>
      <c r="C25" s="6" t="s">
        <v>286</v>
      </c>
      <c r="D25" s="6" t="s">
        <v>564</v>
      </c>
      <c r="E25" s="6" t="s">
        <v>565</v>
      </c>
    </row>
    <row r="26" spans="1:5" x14ac:dyDescent="0.2">
      <c r="A26" s="6"/>
      <c r="B26" s="39">
        <v>39</v>
      </c>
      <c r="C26" s="6" t="s">
        <v>574</v>
      </c>
      <c r="D26" s="6" t="s">
        <v>575</v>
      </c>
      <c r="E26" s="6" t="s">
        <v>576</v>
      </c>
    </row>
    <row r="27" spans="1:5" x14ac:dyDescent="0.2">
      <c r="A27" s="6"/>
      <c r="B27" s="39">
        <v>30</v>
      </c>
      <c r="C27" s="6" t="s">
        <v>579</v>
      </c>
      <c r="D27" s="6" t="s">
        <v>580</v>
      </c>
      <c r="E27" s="6" t="s">
        <v>581</v>
      </c>
    </row>
    <row r="28" spans="1:5" x14ac:dyDescent="0.2">
      <c r="A28" s="6"/>
      <c r="B28" s="39">
        <v>44</v>
      </c>
      <c r="C28" s="6" t="s">
        <v>394</v>
      </c>
      <c r="D28" s="6" t="s">
        <v>548</v>
      </c>
      <c r="E28" s="6" t="s">
        <v>549</v>
      </c>
    </row>
    <row r="29" spans="1:5" x14ac:dyDescent="0.2">
      <c r="A29" s="6"/>
      <c r="B29" s="39">
        <v>10</v>
      </c>
      <c r="C29" s="6" t="s">
        <v>352</v>
      </c>
      <c r="D29" s="6" t="s">
        <v>502</v>
      </c>
      <c r="E29" s="6" t="s">
        <v>525</v>
      </c>
    </row>
    <row r="30" spans="1:5" x14ac:dyDescent="0.2">
      <c r="A30" s="6"/>
      <c r="B30" s="39">
        <v>8</v>
      </c>
      <c r="C30" s="6" t="s">
        <v>371</v>
      </c>
      <c r="D30" s="6" t="s">
        <v>535</v>
      </c>
      <c r="E30" s="6" t="s">
        <v>536</v>
      </c>
    </row>
    <row r="31" spans="1:5" x14ac:dyDescent="0.2">
      <c r="A31" s="6"/>
      <c r="B31" s="39" t="s">
        <v>610</v>
      </c>
      <c r="C31" s="6" t="s">
        <v>26</v>
      </c>
      <c r="D31" s="6" t="s">
        <v>577</v>
      </c>
      <c r="E31" s="6" t="s">
        <v>578</v>
      </c>
    </row>
    <row r="32" spans="1:5" x14ac:dyDescent="0.2">
      <c r="A32" s="6"/>
      <c r="B32" s="39">
        <v>33</v>
      </c>
      <c r="C32" s="6" t="s">
        <v>526</v>
      </c>
      <c r="D32" s="6" t="s">
        <v>527</v>
      </c>
      <c r="E32" s="6" t="s">
        <v>528</v>
      </c>
    </row>
    <row r="33" spans="1:5" x14ac:dyDescent="0.2">
      <c r="A33" s="6"/>
      <c r="B33" s="39">
        <v>9</v>
      </c>
      <c r="C33" s="6" t="s">
        <v>623</v>
      </c>
      <c r="D33" s="6" t="s">
        <v>624</v>
      </c>
      <c r="E33" s="6" t="s">
        <v>625</v>
      </c>
    </row>
    <row r="34" spans="1:5" x14ac:dyDescent="0.2">
      <c r="A34" s="6"/>
      <c r="B34" s="39">
        <v>15</v>
      </c>
      <c r="C34" s="6" t="s">
        <v>537</v>
      </c>
      <c r="D34" s="6" t="s">
        <v>538</v>
      </c>
      <c r="E34" s="6" t="s">
        <v>539</v>
      </c>
    </row>
    <row r="35" spans="1:5" x14ac:dyDescent="0.2">
      <c r="A35" s="6"/>
      <c r="B35" s="39">
        <v>40</v>
      </c>
      <c r="C35" s="6" t="s">
        <v>391</v>
      </c>
      <c r="D35" s="6" t="s">
        <v>546</v>
      </c>
      <c r="E35" s="6" t="s">
        <v>547</v>
      </c>
    </row>
    <row r="36" spans="1:5" x14ac:dyDescent="0.2">
      <c r="A36" s="6"/>
      <c r="B36" s="39">
        <v>25</v>
      </c>
      <c r="C36" s="6" t="s">
        <v>529</v>
      </c>
      <c r="D36" s="6" t="s">
        <v>530</v>
      </c>
      <c r="E36" s="6" t="s">
        <v>531</v>
      </c>
    </row>
    <row r="37" spans="1:5" x14ac:dyDescent="0.2">
      <c r="A37" s="6"/>
      <c r="B37" s="39">
        <v>14</v>
      </c>
      <c r="C37" s="6" t="s">
        <v>582</v>
      </c>
      <c r="D37" s="6" t="s">
        <v>583</v>
      </c>
      <c r="E37" s="6" t="s">
        <v>584</v>
      </c>
    </row>
    <row r="38" spans="1:5" x14ac:dyDescent="0.2">
      <c r="A38" s="6"/>
      <c r="B38" s="39">
        <v>7</v>
      </c>
      <c r="C38" s="6" t="s">
        <v>515</v>
      </c>
      <c r="D38" s="6" t="s">
        <v>516</v>
      </c>
      <c r="E38" s="6" t="s">
        <v>517</v>
      </c>
    </row>
    <row r="39" spans="1:5" x14ac:dyDescent="0.2">
      <c r="A39" s="6"/>
      <c r="B39" s="39">
        <v>6</v>
      </c>
      <c r="C39" s="6" t="s">
        <v>518</v>
      </c>
      <c r="D39" s="6" t="s">
        <v>519</v>
      </c>
      <c r="E39" s="6" t="s">
        <v>520</v>
      </c>
    </row>
    <row r="40" spans="1:5" x14ac:dyDescent="0.2">
      <c r="A40" s="6"/>
      <c r="B40" s="39">
        <v>27</v>
      </c>
      <c r="C40" s="6" t="s">
        <v>508</v>
      </c>
      <c r="D40" s="6" t="s">
        <v>509</v>
      </c>
      <c r="E40" s="6" t="s">
        <v>510</v>
      </c>
    </row>
    <row r="41" spans="1:5" x14ac:dyDescent="0.2">
      <c r="A41" s="6"/>
      <c r="B41" s="39">
        <v>11</v>
      </c>
      <c r="C41" s="6" t="s">
        <v>561</v>
      </c>
      <c r="D41" s="6" t="s">
        <v>562</v>
      </c>
      <c r="E41" s="6" t="s">
        <v>563</v>
      </c>
    </row>
    <row r="42" spans="1:5" x14ac:dyDescent="0.2">
      <c r="A42" s="6"/>
      <c r="B42" s="39">
        <v>20</v>
      </c>
      <c r="C42" s="6" t="s">
        <v>267</v>
      </c>
      <c r="D42" s="6" t="s">
        <v>591</v>
      </c>
      <c r="E42" s="6" t="s">
        <v>592</v>
      </c>
    </row>
    <row r="43" spans="1:5" x14ac:dyDescent="0.2">
      <c r="A43" s="6"/>
      <c r="B43" s="39">
        <v>16</v>
      </c>
      <c r="C43" s="6" t="s">
        <v>593</v>
      </c>
      <c r="D43" s="6" t="s">
        <v>594</v>
      </c>
      <c r="E43" s="6" t="s">
        <v>595</v>
      </c>
    </row>
    <row r="44" spans="1:5" x14ac:dyDescent="0.2">
      <c r="A44" s="6"/>
      <c r="B44" s="39">
        <v>28</v>
      </c>
      <c r="C44" s="6" t="s">
        <v>588</v>
      </c>
      <c r="D44" s="6" t="s">
        <v>589</v>
      </c>
      <c r="E44" s="6" t="s">
        <v>590</v>
      </c>
    </row>
    <row r="45" spans="1:5" x14ac:dyDescent="0.2">
      <c r="A45" s="6"/>
      <c r="B45" s="39">
        <v>38</v>
      </c>
      <c r="C45" s="6" t="s">
        <v>522</v>
      </c>
      <c r="D45" s="6" t="s">
        <v>523</v>
      </c>
      <c r="E45" s="6" t="s">
        <v>524</v>
      </c>
    </row>
    <row r="46" spans="1:5" x14ac:dyDescent="0.2">
      <c r="A46" s="6"/>
      <c r="B46" s="39">
        <v>17</v>
      </c>
      <c r="C46" s="6" t="s">
        <v>426</v>
      </c>
      <c r="D46" s="6" t="s">
        <v>566</v>
      </c>
      <c r="E46" s="6" t="s">
        <v>567</v>
      </c>
    </row>
    <row r="47" spans="1:5" x14ac:dyDescent="0.2">
      <c r="A47" s="6"/>
      <c r="B47" s="39" t="s">
        <v>609</v>
      </c>
      <c r="C47" s="6" t="s">
        <v>571</v>
      </c>
      <c r="D47" s="6" t="s">
        <v>572</v>
      </c>
      <c r="E47" s="6" t="s">
        <v>573</v>
      </c>
    </row>
  </sheetData>
  <sortState xmlns:xlrd2="http://schemas.microsoft.com/office/spreadsheetml/2017/richdata2" ref="A3:E47">
    <sortCondition ref="C3:C47"/>
  </sortState>
  <mergeCells count="1">
    <mergeCell ref="A1:E1"/>
  </mergeCells>
  <pageMargins left="0.7" right="0.7" top="0.75" bottom="0.75" header="0.3" footer="0.3"/>
  <pageSetup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388C-444F-487B-86B6-0B5E099E27FA}">
  <dimension ref="A1:AA999"/>
  <sheetViews>
    <sheetView workbookViewId="0">
      <selection activeCell="C15" sqref="C15"/>
    </sheetView>
  </sheetViews>
  <sheetFormatPr defaultRowHeight="15" x14ac:dyDescent="0.2"/>
  <cols>
    <col min="1" max="1" width="33.62890625" bestFit="1" customWidth="1"/>
    <col min="2" max="2" width="47.75390625" customWidth="1"/>
    <col min="3" max="3" width="13.046875" customWidth="1"/>
    <col min="4" max="4" width="26.90234375" customWidth="1"/>
  </cols>
  <sheetData>
    <row r="1" spans="1:27" ht="15.75" thickBot="1" x14ac:dyDescent="0.25">
      <c r="A1" s="147" t="s">
        <v>690</v>
      </c>
      <c r="B1" s="148"/>
      <c r="C1" s="64"/>
      <c r="D1" s="65" t="s">
        <v>38</v>
      </c>
      <c r="E1" s="64"/>
      <c r="F1" s="64"/>
      <c r="G1" s="64"/>
      <c r="H1" s="64"/>
      <c r="I1" s="64"/>
      <c r="J1" s="64"/>
      <c r="K1" s="64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27" ht="15.75" thickBot="1" x14ac:dyDescent="0.25">
      <c r="A2" s="66" t="s">
        <v>7</v>
      </c>
      <c r="B2" s="62" t="s">
        <v>9</v>
      </c>
      <c r="C2" s="62" t="s">
        <v>691</v>
      </c>
      <c r="D2" s="51"/>
      <c r="E2" s="67" t="s">
        <v>1</v>
      </c>
      <c r="F2" s="67" t="s">
        <v>2</v>
      </c>
      <c r="G2" s="67" t="s">
        <v>3</v>
      </c>
      <c r="H2" s="67" t="s">
        <v>4</v>
      </c>
      <c r="I2" s="67" t="s">
        <v>5</v>
      </c>
      <c r="J2" s="67" t="s">
        <v>6</v>
      </c>
      <c r="K2" s="62" t="s">
        <v>692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 spans="1:27" ht="15.75" thickBot="1" x14ac:dyDescent="0.25">
      <c r="A3" s="57" t="s">
        <v>461</v>
      </c>
      <c r="B3" s="51" t="s">
        <v>73</v>
      </c>
      <c r="C3" s="68">
        <v>0.3125</v>
      </c>
      <c r="D3" s="51" t="s">
        <v>693</v>
      </c>
      <c r="E3" s="51"/>
      <c r="F3" s="51"/>
      <c r="G3" s="51"/>
      <c r="H3" s="51"/>
      <c r="I3" s="51"/>
      <c r="J3" s="69">
        <v>1</v>
      </c>
      <c r="K3" s="51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 spans="1:27" ht="15.75" thickBot="1" x14ac:dyDescent="0.25">
      <c r="A4" s="57" t="s">
        <v>462</v>
      </c>
      <c r="B4" s="51" t="s">
        <v>10</v>
      </c>
      <c r="C4" s="68">
        <v>0.3125</v>
      </c>
      <c r="D4" s="51" t="s">
        <v>694</v>
      </c>
      <c r="E4" s="51"/>
      <c r="F4" s="51"/>
      <c r="G4" s="51"/>
      <c r="H4" s="51"/>
      <c r="I4" s="51"/>
      <c r="J4" s="69">
        <v>1</v>
      </c>
      <c r="K4" s="51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 spans="1:27" ht="15.75" thickBot="1" x14ac:dyDescent="0.25">
      <c r="A5" s="57" t="s">
        <v>463</v>
      </c>
      <c r="B5" s="51" t="s">
        <v>695</v>
      </c>
      <c r="C5" s="68">
        <v>0.3125</v>
      </c>
      <c r="D5" s="51" t="s">
        <v>693</v>
      </c>
      <c r="E5" s="51"/>
      <c r="F5" s="51"/>
      <c r="G5" s="51"/>
      <c r="H5" s="51"/>
      <c r="I5" s="69">
        <v>1</v>
      </c>
      <c r="J5" s="51"/>
      <c r="K5" s="51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 spans="1:27" ht="15.75" thickBot="1" x14ac:dyDescent="0.25">
      <c r="A6" s="57" t="s">
        <v>464</v>
      </c>
      <c r="B6" s="51" t="s">
        <v>695</v>
      </c>
      <c r="C6" s="68">
        <v>0.3125</v>
      </c>
      <c r="D6" s="51" t="s">
        <v>696</v>
      </c>
      <c r="E6" s="51"/>
      <c r="F6" s="51"/>
      <c r="G6" s="51"/>
      <c r="H6" s="51"/>
      <c r="I6" s="69">
        <v>1</v>
      </c>
      <c r="J6" s="51"/>
      <c r="K6" s="51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27" ht="15.75" thickBot="1" x14ac:dyDescent="0.25">
      <c r="A7" s="57" t="s">
        <v>697</v>
      </c>
      <c r="B7" s="51" t="s">
        <v>698</v>
      </c>
      <c r="C7" s="68">
        <v>0.40625</v>
      </c>
      <c r="D7" s="51" t="s">
        <v>699</v>
      </c>
      <c r="E7" s="51"/>
      <c r="F7" s="69">
        <v>1</v>
      </c>
      <c r="G7" s="51"/>
      <c r="H7" s="51"/>
      <c r="I7" s="51"/>
      <c r="J7" s="51"/>
      <c r="K7" s="51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27" ht="15.75" thickBot="1" x14ac:dyDescent="0.25">
      <c r="A8" s="57" t="s">
        <v>700</v>
      </c>
      <c r="B8" s="51" t="s">
        <v>698</v>
      </c>
      <c r="C8" s="68">
        <v>0.40625</v>
      </c>
      <c r="D8" s="51" t="s">
        <v>699</v>
      </c>
      <c r="E8" s="51"/>
      <c r="F8" s="51"/>
      <c r="G8" s="51"/>
      <c r="H8" s="69">
        <v>1</v>
      </c>
      <c r="I8" s="51"/>
      <c r="J8" s="51"/>
      <c r="K8" s="51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27" ht="15.75" thickBot="1" x14ac:dyDescent="0.25">
      <c r="A9" s="57" t="s">
        <v>701</v>
      </c>
      <c r="B9" s="51" t="s">
        <v>702</v>
      </c>
      <c r="C9" s="68">
        <v>0.34375</v>
      </c>
      <c r="D9" s="51" t="s">
        <v>694</v>
      </c>
      <c r="E9" s="51"/>
      <c r="F9" s="51"/>
      <c r="G9" s="51"/>
      <c r="H9" s="69">
        <v>1</v>
      </c>
      <c r="I9" s="51"/>
      <c r="J9" s="51"/>
      <c r="K9" s="51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27" ht="15.75" thickBot="1" x14ac:dyDescent="0.25">
      <c r="A10" s="57" t="s">
        <v>703</v>
      </c>
      <c r="B10" s="51" t="s">
        <v>702</v>
      </c>
      <c r="C10" s="68">
        <v>0.34375</v>
      </c>
      <c r="D10" s="51" t="s">
        <v>704</v>
      </c>
      <c r="E10" s="51"/>
      <c r="F10" s="51"/>
      <c r="G10" s="51"/>
      <c r="H10" s="51"/>
      <c r="I10" s="69">
        <v>1</v>
      </c>
      <c r="J10" s="51"/>
      <c r="K10" s="51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27" ht="15.75" thickBot="1" x14ac:dyDescent="0.25">
      <c r="A11" s="57" t="s">
        <v>705</v>
      </c>
      <c r="B11" s="51" t="s">
        <v>706</v>
      </c>
      <c r="C11" s="68">
        <v>0.34375</v>
      </c>
      <c r="D11" s="51" t="s">
        <v>707</v>
      </c>
      <c r="E11" s="51"/>
      <c r="F11" s="51"/>
      <c r="G11" s="51"/>
      <c r="H11" s="69">
        <v>1</v>
      </c>
      <c r="I11" s="51"/>
      <c r="J11" s="51"/>
      <c r="K11" s="51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27" ht="15.75" thickBot="1" x14ac:dyDescent="0.25">
      <c r="A12" s="57" t="s">
        <v>49</v>
      </c>
      <c r="B12" s="51" t="s">
        <v>708</v>
      </c>
      <c r="C12" s="68">
        <v>0.34375</v>
      </c>
      <c r="D12" s="51" t="s">
        <v>709</v>
      </c>
      <c r="E12" s="51"/>
      <c r="F12" s="69">
        <v>1</v>
      </c>
      <c r="G12" s="51"/>
      <c r="H12" s="51"/>
      <c r="I12" s="51"/>
      <c r="J12" s="51"/>
      <c r="K12" s="51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27" ht="15.75" thickBot="1" x14ac:dyDescent="0.25">
      <c r="A13" s="57" t="s">
        <v>56</v>
      </c>
      <c r="B13" s="51" t="s">
        <v>710</v>
      </c>
      <c r="C13" s="68">
        <v>0.34375</v>
      </c>
      <c r="D13" s="51" t="s">
        <v>711</v>
      </c>
      <c r="E13" s="51"/>
      <c r="F13" s="69">
        <v>1</v>
      </c>
      <c r="G13" s="51"/>
      <c r="H13" s="51"/>
      <c r="I13" s="51"/>
      <c r="J13" s="51"/>
      <c r="K13" s="51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27" ht="15.75" thickBot="1" x14ac:dyDescent="0.25">
      <c r="A14" s="57" t="s">
        <v>438</v>
      </c>
      <c r="B14" s="51" t="s">
        <v>712</v>
      </c>
      <c r="C14" s="68">
        <v>0.34375</v>
      </c>
      <c r="D14" s="51" t="s">
        <v>713</v>
      </c>
      <c r="E14" s="51"/>
      <c r="F14" s="69">
        <v>1</v>
      </c>
      <c r="G14" s="51"/>
      <c r="H14" s="51"/>
      <c r="I14" s="51"/>
      <c r="J14" s="51"/>
      <c r="K14" s="51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27" ht="15.75" thickBot="1" x14ac:dyDescent="0.25">
      <c r="A15" s="57" t="s">
        <v>714</v>
      </c>
      <c r="B15" s="51" t="s">
        <v>715</v>
      </c>
      <c r="C15" s="70">
        <v>0.34375</v>
      </c>
      <c r="D15" s="51" t="s">
        <v>716</v>
      </c>
      <c r="E15" s="51"/>
      <c r="F15" s="69">
        <v>1</v>
      </c>
      <c r="G15" s="51"/>
      <c r="H15" s="51"/>
      <c r="I15" s="51"/>
      <c r="J15" s="51"/>
      <c r="K15" s="51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ht="15.75" thickBot="1" x14ac:dyDescent="0.25">
      <c r="A16" s="57" t="s">
        <v>717</v>
      </c>
      <c r="B16" s="51" t="s">
        <v>715</v>
      </c>
      <c r="C16" s="68">
        <v>0.34375</v>
      </c>
      <c r="D16" s="51" t="s">
        <v>718</v>
      </c>
      <c r="E16" s="69">
        <v>1</v>
      </c>
      <c r="F16" s="51"/>
      <c r="G16" s="51"/>
      <c r="H16" s="51"/>
      <c r="I16" s="51"/>
      <c r="J16" s="51"/>
      <c r="K16" s="51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27" ht="15.75" thickBot="1" x14ac:dyDescent="0.25">
      <c r="A17" s="57" t="s">
        <v>719</v>
      </c>
      <c r="B17" s="51" t="s">
        <v>720</v>
      </c>
      <c r="C17" s="68">
        <v>0.34375</v>
      </c>
      <c r="D17" s="51" t="s">
        <v>721</v>
      </c>
      <c r="E17" s="51"/>
      <c r="F17" s="51"/>
      <c r="G17" s="51"/>
      <c r="H17" s="69">
        <v>1</v>
      </c>
      <c r="I17" s="51"/>
      <c r="J17" s="51"/>
      <c r="K17" s="51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spans="1:27" ht="15.75" thickBot="1" x14ac:dyDescent="0.25">
      <c r="A18" s="57" t="s">
        <v>722</v>
      </c>
      <c r="B18" s="51" t="s">
        <v>723</v>
      </c>
      <c r="C18" s="68">
        <v>0.34375</v>
      </c>
      <c r="D18" s="51" t="s">
        <v>724</v>
      </c>
      <c r="E18" s="51"/>
      <c r="F18" s="51"/>
      <c r="G18" s="69">
        <v>1</v>
      </c>
      <c r="H18" s="51"/>
      <c r="I18" s="51"/>
      <c r="J18" s="51"/>
      <c r="K18" s="51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spans="1:27" ht="15.75" thickBot="1" x14ac:dyDescent="0.25">
      <c r="A19" s="57" t="s">
        <v>725</v>
      </c>
      <c r="B19" s="51" t="s">
        <v>723</v>
      </c>
      <c r="C19" s="68">
        <v>0.34375</v>
      </c>
      <c r="D19" s="51" t="s">
        <v>724</v>
      </c>
      <c r="E19" s="51"/>
      <c r="F19" s="69">
        <v>1</v>
      </c>
      <c r="G19" s="51"/>
      <c r="H19" s="51"/>
      <c r="I19" s="51"/>
      <c r="J19" s="51"/>
      <c r="K19" s="51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ht="15.75" thickBot="1" x14ac:dyDescent="0.25">
      <c r="A20" s="57" t="s">
        <v>726</v>
      </c>
      <c r="B20" s="51" t="s">
        <v>727</v>
      </c>
      <c r="C20" s="68">
        <v>0.34375</v>
      </c>
      <c r="D20" s="51" t="s">
        <v>709</v>
      </c>
      <c r="E20" s="51"/>
      <c r="F20" s="51"/>
      <c r="G20" s="69">
        <v>1</v>
      </c>
      <c r="H20" s="51"/>
      <c r="I20" s="51"/>
      <c r="J20" s="51"/>
      <c r="K20" s="51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27" ht="15.75" thickBot="1" x14ac:dyDescent="0.25">
      <c r="A21" s="71" t="s">
        <v>469</v>
      </c>
      <c r="B21" s="51"/>
      <c r="C21" s="51"/>
      <c r="D21" s="51"/>
      <c r="E21" s="51"/>
      <c r="F21" s="60">
        <v>2</v>
      </c>
      <c r="G21" s="60">
        <v>0</v>
      </c>
      <c r="H21" s="60">
        <v>1</v>
      </c>
      <c r="I21" s="51"/>
      <c r="J21" s="51"/>
      <c r="K21" s="51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27" ht="15.75" thickBot="1" x14ac:dyDescent="0.25">
      <c r="A22" s="57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27" ht="15.75" thickBot="1" x14ac:dyDescent="0.25">
      <c r="A23" s="66" t="s">
        <v>24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27" ht="15.75" thickBot="1" x14ac:dyDescent="0.25">
      <c r="A24" s="57" t="s">
        <v>728</v>
      </c>
      <c r="B24" s="51" t="s">
        <v>729</v>
      </c>
      <c r="C24" s="51"/>
      <c r="D24" s="51" t="s">
        <v>730</v>
      </c>
      <c r="E24" s="51"/>
      <c r="F24" s="51"/>
      <c r="G24" s="51"/>
      <c r="H24" s="69">
        <v>1</v>
      </c>
      <c r="I24" s="51"/>
      <c r="J24" s="51"/>
      <c r="K24" s="51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27" ht="15.75" thickBot="1" x14ac:dyDescent="0.25">
      <c r="A25" s="57" t="s">
        <v>436</v>
      </c>
      <c r="B25" s="51" t="s">
        <v>11</v>
      </c>
      <c r="C25" s="51"/>
      <c r="D25" s="51"/>
      <c r="E25" s="51"/>
      <c r="F25" s="51"/>
      <c r="G25" s="69">
        <v>1</v>
      </c>
      <c r="H25" s="51"/>
      <c r="I25" s="69">
        <v>1</v>
      </c>
      <c r="J25" s="51"/>
      <c r="K25" s="51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27" ht="15.75" thickBot="1" x14ac:dyDescent="0.25">
      <c r="A26" s="57" t="s">
        <v>731</v>
      </c>
      <c r="B26" s="51" t="s">
        <v>11</v>
      </c>
      <c r="C26" s="51"/>
      <c r="D26" s="51"/>
      <c r="E26" s="51"/>
      <c r="F26" s="51"/>
      <c r="G26" s="51"/>
      <c r="H26" s="69">
        <v>1</v>
      </c>
      <c r="I26" s="51"/>
      <c r="J26" s="51"/>
      <c r="K26" s="51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27" ht="15.75" thickBot="1" x14ac:dyDescent="0.25">
      <c r="A27" s="57" t="s">
        <v>732</v>
      </c>
      <c r="B27" s="51" t="s">
        <v>11</v>
      </c>
      <c r="C27" s="51"/>
      <c r="D27" s="51"/>
      <c r="E27" s="51"/>
      <c r="F27" s="51"/>
      <c r="G27" s="69">
        <v>1</v>
      </c>
      <c r="H27" s="51"/>
      <c r="I27" s="51"/>
      <c r="J27" s="51"/>
      <c r="K27" s="51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spans="1:27" ht="15.75" thickBot="1" x14ac:dyDescent="0.25">
      <c r="A28" s="57" t="s">
        <v>733</v>
      </c>
      <c r="B28" s="51" t="s">
        <v>11</v>
      </c>
      <c r="C28" s="51"/>
      <c r="D28" s="51"/>
      <c r="E28" s="51"/>
      <c r="F28" s="51"/>
      <c r="G28" s="51"/>
      <c r="H28" s="69">
        <v>1</v>
      </c>
      <c r="I28" s="51"/>
      <c r="J28" s="51"/>
      <c r="K28" s="51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 spans="1:27" ht="15.75" thickBot="1" x14ac:dyDescent="0.25">
      <c r="A29" s="57" t="s">
        <v>734</v>
      </c>
      <c r="B29" s="51" t="s">
        <v>11</v>
      </c>
      <c r="C29" s="51"/>
      <c r="D29" s="51"/>
      <c r="E29" s="51"/>
      <c r="F29" s="51"/>
      <c r="G29" s="51"/>
      <c r="H29" s="69">
        <v>1</v>
      </c>
      <c r="I29" s="51"/>
      <c r="J29" s="51"/>
      <c r="K29" s="51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spans="1:27" ht="15.75" thickBot="1" x14ac:dyDescent="0.25">
      <c r="A30" s="57" t="s">
        <v>735</v>
      </c>
      <c r="B30" s="51" t="s">
        <v>11</v>
      </c>
      <c r="C30" s="51"/>
      <c r="D30" s="51"/>
      <c r="E30" s="69">
        <v>1</v>
      </c>
      <c r="F30" s="51"/>
      <c r="G30" s="51"/>
      <c r="H30" s="51"/>
      <c r="I30" s="51"/>
      <c r="J30" s="51"/>
      <c r="K30" s="51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15.75" thickBot="1" x14ac:dyDescent="0.25">
      <c r="A31" s="57" t="s">
        <v>736</v>
      </c>
      <c r="B31" s="51" t="s">
        <v>437</v>
      </c>
      <c r="C31" s="51"/>
      <c r="D31" s="51"/>
      <c r="E31" s="51"/>
      <c r="F31" s="51"/>
      <c r="G31" s="60">
        <v>1</v>
      </c>
      <c r="H31" s="51"/>
      <c r="I31" s="51"/>
      <c r="J31" s="51"/>
      <c r="K31" s="51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spans="1:27" ht="15.75" thickBot="1" x14ac:dyDescent="0.25">
      <c r="A32" s="57" t="s">
        <v>737</v>
      </c>
      <c r="B32" s="51" t="s">
        <v>738</v>
      </c>
      <c r="C32" s="51"/>
      <c r="D32" s="51"/>
      <c r="E32" s="51"/>
      <c r="F32" s="51"/>
      <c r="G32" s="51"/>
      <c r="H32" s="69">
        <v>2</v>
      </c>
      <c r="I32" s="51"/>
      <c r="J32" s="51"/>
      <c r="K32" s="51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spans="1:27" ht="15.75" thickBot="1" x14ac:dyDescent="0.25">
      <c r="A33" s="57" t="s">
        <v>739</v>
      </c>
      <c r="B33" s="51" t="s">
        <v>740</v>
      </c>
      <c r="C33" s="51"/>
      <c r="D33" s="51"/>
      <c r="E33" s="51"/>
      <c r="F33" s="69">
        <v>1</v>
      </c>
      <c r="G33" s="51"/>
      <c r="H33" s="51"/>
      <c r="I33" s="51"/>
      <c r="J33" s="51"/>
      <c r="K33" s="51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 spans="1:27" ht="15.75" thickBot="1" x14ac:dyDescent="0.25">
      <c r="A34" s="57" t="s">
        <v>741</v>
      </c>
      <c r="B34" s="51" t="s">
        <v>11</v>
      </c>
      <c r="C34" s="51"/>
      <c r="D34" s="51"/>
      <c r="E34" s="51"/>
      <c r="F34" s="69">
        <v>1</v>
      </c>
      <c r="G34" s="51"/>
      <c r="H34" s="51"/>
      <c r="I34" s="51"/>
      <c r="J34" s="51"/>
      <c r="K34" s="51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 spans="1:27" ht="15.75" thickBot="1" x14ac:dyDescent="0.25">
      <c r="A35" s="57" t="s">
        <v>742</v>
      </c>
      <c r="B35" s="51" t="s">
        <v>437</v>
      </c>
      <c r="C35" s="51"/>
      <c r="D35" s="51"/>
      <c r="E35" s="51"/>
      <c r="F35" s="51"/>
      <c r="G35" s="51"/>
      <c r="H35" s="60">
        <v>1</v>
      </c>
      <c r="I35" s="51"/>
      <c r="J35" s="51"/>
      <c r="K35" s="51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 spans="1:27" ht="15.75" thickBot="1" x14ac:dyDescent="0.25">
      <c r="A36" s="72"/>
      <c r="B36" s="72" t="s">
        <v>58</v>
      </c>
      <c r="C36" s="56"/>
      <c r="D36" s="72"/>
      <c r="E36" s="60">
        <v>2</v>
      </c>
      <c r="F36" s="60">
        <v>10</v>
      </c>
      <c r="G36" s="60">
        <v>5</v>
      </c>
      <c r="H36" s="60">
        <v>12</v>
      </c>
      <c r="I36" s="60">
        <v>4</v>
      </c>
      <c r="J36" s="60">
        <v>2</v>
      </c>
      <c r="K36" s="60">
        <v>35</v>
      </c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</row>
    <row r="37" spans="1:27" ht="15.75" thickBot="1" x14ac:dyDescent="0.25">
      <c r="A37" s="56"/>
      <c r="B37" s="56"/>
      <c r="C37" s="56"/>
      <c r="D37" s="72"/>
      <c r="E37" s="67" t="s">
        <v>1</v>
      </c>
      <c r="F37" s="67" t="s">
        <v>2</v>
      </c>
      <c r="G37" s="67" t="s">
        <v>3</v>
      </c>
      <c r="H37" s="67" t="s">
        <v>4</v>
      </c>
      <c r="I37" s="67" t="s">
        <v>5</v>
      </c>
      <c r="J37" s="67" t="s">
        <v>6</v>
      </c>
      <c r="K37" s="62" t="s">
        <v>743</v>
      </c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 spans="1:27" ht="15.75" thickBot="1" x14ac:dyDescent="0.2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 spans="1:27" ht="15.75" thickBot="1" x14ac:dyDescent="0.25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 spans="1:27" ht="15.75" thickBot="1" x14ac:dyDescent="0.25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 spans="1:27" ht="15.75" thickBot="1" x14ac:dyDescent="0.25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 spans="1:27" ht="15.75" thickBot="1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 spans="1:27" ht="15.75" thickBot="1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spans="1:27" ht="15.75" thickBot="1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 spans="1:27" ht="15.75" thickBot="1" x14ac:dyDescent="0.2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spans="1:27" ht="15.75" thickBot="1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spans="1:27" ht="15.75" thickBot="1" x14ac:dyDescent="0.2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 spans="1:27" ht="15.75" thickBot="1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 spans="1:27" ht="15.75" thickBot="1" x14ac:dyDescent="0.2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 spans="1:27" ht="15.75" thickBot="1" x14ac:dyDescent="0.2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 spans="1:27" ht="15.75" thickBot="1" x14ac:dyDescent="0.25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 spans="1:27" ht="15.75" thickBot="1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 spans="1:27" ht="15.75" thickBot="1" x14ac:dyDescent="0.2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 spans="1:27" ht="15.75" thickBot="1" x14ac:dyDescent="0.2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 spans="1:27" ht="15.75" thickBot="1" x14ac:dyDescent="0.2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1:27" ht="15.75" thickBot="1" x14ac:dyDescent="0.2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 spans="1:27" ht="15.75" thickBot="1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 spans="1:27" ht="15.75" thickBot="1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 spans="1:27" ht="15.75" thickBot="1" x14ac:dyDescent="0.2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 spans="1:27" ht="15.75" thickBot="1" x14ac:dyDescent="0.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 spans="1:27" ht="15.75" thickBot="1" x14ac:dyDescent="0.2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 spans="1:27" ht="15.75" thickBot="1" x14ac:dyDescent="0.2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 spans="1:27" ht="15.75" thickBot="1" x14ac:dyDescent="0.2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 spans="1:27" ht="15.75" thickBot="1" x14ac:dyDescent="0.2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ht="15.75" thickBot="1" x14ac:dyDescent="0.2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 spans="1:27" ht="15.75" thickBot="1" x14ac:dyDescent="0.2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ht="15.75" thickBot="1" x14ac:dyDescent="0.2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 spans="1:27" ht="15.75" thickBot="1" x14ac:dyDescent="0.2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 spans="1:27" ht="15.75" thickBot="1" x14ac:dyDescent="0.2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 spans="1:27" ht="15.75" thickBot="1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 spans="1:27" ht="15.75" thickBot="1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 spans="1:27" ht="15.75" thickBot="1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 spans="1:27" ht="15.75" thickBot="1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 spans="1:27" ht="15.75" thickBot="1" x14ac:dyDescent="0.2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 spans="1:27" ht="15.75" thickBot="1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 spans="1:27" ht="15.75" thickBot="1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 spans="1:27" ht="15.75" thickBot="1" x14ac:dyDescent="0.2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 spans="1:27" ht="15.75" thickBot="1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 spans="1:27" ht="15.75" thickBot="1" x14ac:dyDescent="0.2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 spans="1:27" ht="15.75" thickBot="1" x14ac:dyDescent="0.2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 spans="1:27" ht="15.75" thickBot="1" x14ac:dyDescent="0.2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 spans="1:27" ht="15.75" thickBot="1" x14ac:dyDescent="0.2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 spans="1:27" ht="15.75" thickBot="1" x14ac:dyDescent="0.2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 spans="1:27" ht="15.75" thickBot="1" x14ac:dyDescent="0.2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 spans="1:27" ht="15.75" thickBot="1" x14ac:dyDescent="0.2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 spans="1:27" ht="15.75" thickBot="1" x14ac:dyDescent="0.25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 spans="1:27" ht="15.75" thickBot="1" x14ac:dyDescent="0.25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 spans="1:27" ht="15.75" thickBot="1" x14ac:dyDescent="0.25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 spans="1:27" ht="15.75" thickBot="1" x14ac:dyDescent="0.25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 spans="1:27" ht="15.75" thickBot="1" x14ac:dyDescent="0.25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 spans="1:27" ht="15.75" thickBot="1" x14ac:dyDescent="0.2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</row>
    <row r="92" spans="1:27" ht="15.75" thickBot="1" x14ac:dyDescent="0.2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ht="15.75" thickBot="1" x14ac:dyDescent="0.2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 spans="1:27" ht="15.75" thickBot="1" x14ac:dyDescent="0.2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</row>
    <row r="95" spans="1:27" ht="15.75" thickBot="1" x14ac:dyDescent="0.2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</row>
    <row r="96" spans="1:27" ht="15.75" thickBot="1" x14ac:dyDescent="0.2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</row>
    <row r="97" spans="1:27" ht="15.75" thickBot="1" x14ac:dyDescent="0.2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 spans="1:27" ht="15.75" thickBot="1" x14ac:dyDescent="0.2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</row>
    <row r="99" spans="1:27" ht="15.75" thickBot="1" x14ac:dyDescent="0.2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</row>
    <row r="100" spans="1:27" ht="15.75" thickBot="1" x14ac:dyDescent="0.2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</row>
    <row r="101" spans="1:27" ht="15.75" thickBot="1" x14ac:dyDescent="0.2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 spans="1:27" ht="15.75" thickBot="1" x14ac:dyDescent="0.2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</row>
    <row r="103" spans="1:27" ht="15.75" thickBot="1" x14ac:dyDescent="0.2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</row>
    <row r="104" spans="1:27" ht="15.75" thickBot="1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</row>
    <row r="105" spans="1:27" ht="15.75" thickBot="1" x14ac:dyDescent="0.2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 spans="1:27" ht="15.75" thickBot="1" x14ac:dyDescent="0.2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 spans="1:27" ht="15.75" thickBot="1" x14ac:dyDescent="0.2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 spans="1:27" ht="15.75" thickBot="1" x14ac:dyDescent="0.2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 spans="1:27" ht="15.75" thickBot="1" x14ac:dyDescent="0.2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 spans="1:27" ht="15.75" thickBot="1" x14ac:dyDescent="0.2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 spans="1:27" ht="15.75" thickBot="1" x14ac:dyDescent="0.2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 spans="1:27" ht="15.75" thickBot="1" x14ac:dyDescent="0.2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 spans="1:27" ht="15.75" thickBot="1" x14ac:dyDescent="0.2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</row>
    <row r="114" spans="1:27" ht="15.75" thickBot="1" x14ac:dyDescent="0.2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 spans="1:27" ht="15.75" thickBot="1" x14ac:dyDescent="0.2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</row>
    <row r="116" spans="1:27" ht="15.75" thickBot="1" x14ac:dyDescent="0.2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</row>
    <row r="117" spans="1:27" ht="15.75" thickBot="1" x14ac:dyDescent="0.2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</row>
    <row r="118" spans="1:27" ht="15.75" thickBot="1" x14ac:dyDescent="0.2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</row>
    <row r="119" spans="1:27" ht="15.75" thickBot="1" x14ac:dyDescent="0.2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 spans="1:27" ht="15.75" thickBot="1" x14ac:dyDescent="0.2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 spans="1:27" ht="15.75" thickBot="1" x14ac:dyDescent="0.2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 spans="1:27" ht="15.75" thickBot="1" x14ac:dyDescent="0.2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 spans="1:27" ht="15.75" thickBot="1" x14ac:dyDescent="0.2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 spans="1:27" ht="15.75" thickBot="1" x14ac:dyDescent="0.2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 spans="1:27" ht="15.75" thickBot="1" x14ac:dyDescent="0.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 spans="1:27" ht="15.75" thickBot="1" x14ac:dyDescent="0.2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 spans="1:27" ht="15.75" thickBot="1" x14ac:dyDescent="0.2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 spans="1:27" ht="15.75" thickBot="1" x14ac:dyDescent="0.2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 spans="1:27" ht="15.75" thickBot="1" x14ac:dyDescent="0.2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 spans="1:27" ht="15.75" thickBot="1" x14ac:dyDescent="0.2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 spans="1:27" ht="15.75" thickBot="1" x14ac:dyDescent="0.2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 spans="1:27" ht="15.75" thickBot="1" x14ac:dyDescent="0.2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 spans="1:27" ht="15.75" thickBot="1" x14ac:dyDescent="0.2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 spans="1:27" ht="15.75" thickBot="1" x14ac:dyDescent="0.2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 spans="1:27" ht="15.75" thickBot="1" x14ac:dyDescent="0.2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 spans="1:27" ht="15.75" thickBot="1" x14ac:dyDescent="0.2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 spans="1:27" ht="15.75" thickBot="1" x14ac:dyDescent="0.2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 spans="1:27" ht="15.75" thickBot="1" x14ac:dyDescent="0.2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 spans="1:27" ht="15.75" thickBot="1" x14ac:dyDescent="0.2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 spans="1:27" ht="15.75" thickBot="1" x14ac:dyDescent="0.2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 spans="1:27" ht="15.75" thickBot="1" x14ac:dyDescent="0.2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 spans="1:27" ht="15.75" thickBot="1" x14ac:dyDescent="0.2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 spans="1:27" ht="15.75" thickBot="1" x14ac:dyDescent="0.2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 spans="1:27" ht="15.75" thickBot="1" x14ac:dyDescent="0.2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 spans="1:27" ht="15.75" thickBot="1" x14ac:dyDescent="0.2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 spans="1:27" ht="15.75" thickBot="1" x14ac:dyDescent="0.2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 spans="1:27" ht="15.75" thickBot="1" x14ac:dyDescent="0.2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 spans="1:27" ht="15.75" thickBot="1" x14ac:dyDescent="0.2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 spans="1:27" ht="15.75" thickBot="1" x14ac:dyDescent="0.2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 spans="1:27" ht="15.75" thickBot="1" x14ac:dyDescent="0.2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</row>
    <row r="151" spans="1:27" ht="15.75" thickBot="1" x14ac:dyDescent="0.2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</row>
    <row r="152" spans="1:27" ht="15.75" thickBot="1" x14ac:dyDescent="0.2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</row>
    <row r="153" spans="1:27" ht="15.75" thickBot="1" x14ac:dyDescent="0.2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</row>
    <row r="154" spans="1:27" ht="15.75" thickBot="1" x14ac:dyDescent="0.2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</row>
    <row r="155" spans="1:27" ht="15.75" thickBot="1" x14ac:dyDescent="0.2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 spans="1:27" ht="15.75" thickBot="1" x14ac:dyDescent="0.2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</row>
    <row r="157" spans="1:27" ht="15.75" thickBot="1" x14ac:dyDescent="0.2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</row>
    <row r="158" spans="1:27" ht="15.75" thickBot="1" x14ac:dyDescent="0.2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</row>
    <row r="159" spans="1:27" ht="15.75" thickBot="1" x14ac:dyDescent="0.2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 spans="1:27" ht="15.75" thickBot="1" x14ac:dyDescent="0.2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 spans="1:27" ht="15.75" thickBot="1" x14ac:dyDescent="0.2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</row>
    <row r="162" spans="1:27" ht="15.75" thickBot="1" x14ac:dyDescent="0.2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</row>
    <row r="163" spans="1:27" ht="15.75" thickBot="1" x14ac:dyDescent="0.2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</row>
    <row r="164" spans="1:27" ht="15.75" thickBot="1" x14ac:dyDescent="0.2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 spans="1:27" ht="15.75" thickBot="1" x14ac:dyDescent="0.2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 spans="1:27" ht="15.75" thickBot="1" x14ac:dyDescent="0.2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</row>
    <row r="167" spans="1:27" ht="15.75" thickBot="1" x14ac:dyDescent="0.2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 spans="1:27" ht="15.75" thickBot="1" x14ac:dyDescent="0.2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</row>
    <row r="169" spans="1:27" ht="15.75" thickBot="1" x14ac:dyDescent="0.2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 spans="1:27" ht="15.75" thickBot="1" x14ac:dyDescent="0.2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</row>
    <row r="171" spans="1:27" ht="15.75" thickBot="1" x14ac:dyDescent="0.2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 spans="1:27" ht="15.75" thickBot="1" x14ac:dyDescent="0.2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</row>
    <row r="173" spans="1:27" ht="15.75" thickBot="1" x14ac:dyDescent="0.2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</row>
    <row r="174" spans="1:27" ht="15.75" thickBot="1" x14ac:dyDescent="0.2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</row>
    <row r="175" spans="1:27" ht="15.75" thickBot="1" x14ac:dyDescent="0.2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 spans="1:27" ht="15.75" thickBot="1" x14ac:dyDescent="0.2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</row>
    <row r="177" spans="1:27" ht="15.75" thickBot="1" x14ac:dyDescent="0.2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</row>
    <row r="178" spans="1:27" ht="15.75" thickBot="1" x14ac:dyDescent="0.2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 spans="1:27" ht="15.75" thickBot="1" x14ac:dyDescent="0.2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</row>
    <row r="180" spans="1:27" ht="15.75" thickBot="1" x14ac:dyDescent="0.2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 spans="1:27" ht="15.75" thickBot="1" x14ac:dyDescent="0.2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</row>
    <row r="182" spans="1:27" ht="15.75" thickBot="1" x14ac:dyDescent="0.2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</row>
    <row r="183" spans="1:27" ht="15.75" thickBot="1" x14ac:dyDescent="0.2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</row>
    <row r="184" spans="1:27" ht="15.75" thickBot="1" x14ac:dyDescent="0.2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</row>
    <row r="185" spans="1:27" ht="15.75" thickBot="1" x14ac:dyDescent="0.2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</row>
    <row r="186" spans="1:27" ht="15.75" thickBot="1" x14ac:dyDescent="0.2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 spans="1:27" ht="15.75" thickBot="1" x14ac:dyDescent="0.2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</row>
    <row r="188" spans="1:27" ht="15.75" thickBot="1" x14ac:dyDescent="0.2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</row>
    <row r="189" spans="1:27" ht="15.75" thickBot="1" x14ac:dyDescent="0.2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 spans="1:27" ht="15.75" thickBot="1" x14ac:dyDescent="0.2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 spans="1:27" ht="15.75" thickBot="1" x14ac:dyDescent="0.2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</row>
    <row r="192" spans="1:27" ht="15.75" thickBot="1" x14ac:dyDescent="0.2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</row>
    <row r="193" spans="1:27" ht="15.75" thickBot="1" x14ac:dyDescent="0.25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 spans="1:27" ht="15.75" thickBot="1" x14ac:dyDescent="0.25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</row>
    <row r="195" spans="1:27" ht="15.75" thickBot="1" x14ac:dyDescent="0.2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 spans="1:27" ht="15.75" thickBot="1" x14ac:dyDescent="0.25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 spans="1:27" ht="15.75" thickBot="1" x14ac:dyDescent="0.25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</row>
    <row r="198" spans="1:27" ht="15.75" thickBot="1" x14ac:dyDescent="0.2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</row>
    <row r="199" spans="1:27" ht="15.75" thickBot="1" x14ac:dyDescent="0.25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</row>
    <row r="200" spans="1:27" ht="15.75" thickBot="1" x14ac:dyDescent="0.25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</row>
    <row r="201" spans="1:27" ht="15.75" thickBot="1" x14ac:dyDescent="0.25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</row>
    <row r="202" spans="1:27" ht="15.75" thickBot="1" x14ac:dyDescent="0.25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 spans="1:27" ht="15.75" thickBot="1" x14ac:dyDescent="0.25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</row>
    <row r="204" spans="1:27" ht="15.75" thickBot="1" x14ac:dyDescent="0.25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 spans="1:27" ht="15.75" thickBot="1" x14ac:dyDescent="0.2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</row>
    <row r="206" spans="1:27" ht="15.75" thickBot="1" x14ac:dyDescent="0.25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 spans="1:27" ht="15.75" thickBot="1" x14ac:dyDescent="0.25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</row>
    <row r="208" spans="1:27" ht="15.75" thickBot="1" x14ac:dyDescent="0.25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</row>
    <row r="209" spans="1:27" ht="15.75" thickBot="1" x14ac:dyDescent="0.25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 spans="1:27" ht="15.75" thickBot="1" x14ac:dyDescent="0.2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 spans="1:27" ht="15.75" thickBot="1" x14ac:dyDescent="0.2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</row>
    <row r="212" spans="1:27" ht="15.75" thickBot="1" x14ac:dyDescent="0.25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</row>
    <row r="213" spans="1:27" ht="15.75" thickBot="1" x14ac:dyDescent="0.25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</row>
    <row r="214" spans="1:27" ht="15.75" thickBot="1" x14ac:dyDescent="0.25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</row>
    <row r="215" spans="1:27" ht="15.75" thickBot="1" x14ac:dyDescent="0.2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</row>
    <row r="216" spans="1:27" ht="15.75" thickBot="1" x14ac:dyDescent="0.25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</row>
    <row r="217" spans="1:27" ht="15.75" thickBot="1" x14ac:dyDescent="0.2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</row>
    <row r="218" spans="1:27" ht="15.75" thickBot="1" x14ac:dyDescent="0.25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 spans="1:27" ht="15.75" thickBot="1" x14ac:dyDescent="0.25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</row>
    <row r="220" spans="1:27" ht="15.75" thickBot="1" x14ac:dyDescent="0.25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</row>
    <row r="221" spans="1:27" ht="15.75" thickBot="1" x14ac:dyDescent="0.25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</row>
    <row r="222" spans="1:27" ht="15.75" thickBot="1" x14ac:dyDescent="0.25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</row>
    <row r="223" spans="1:27" ht="15.75" thickBot="1" x14ac:dyDescent="0.25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 spans="1:27" ht="15.75" thickBot="1" x14ac:dyDescent="0.25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 spans="1:27" ht="15.75" thickBot="1" x14ac:dyDescent="0.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 spans="1:27" ht="15.75" thickBot="1" x14ac:dyDescent="0.25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 spans="1:27" ht="15.75" thickBot="1" x14ac:dyDescent="0.25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 spans="1:27" ht="15.75" thickBot="1" x14ac:dyDescent="0.25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 spans="1:27" ht="15.75" thickBot="1" x14ac:dyDescent="0.25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 spans="1:27" ht="15.75" thickBot="1" x14ac:dyDescent="0.25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 spans="1:27" ht="15.75" thickBot="1" x14ac:dyDescent="0.25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 spans="1:27" ht="15.75" thickBot="1" x14ac:dyDescent="0.25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 spans="1:27" ht="15.75" thickBot="1" x14ac:dyDescent="0.2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 spans="1:27" ht="15.75" thickBot="1" x14ac:dyDescent="0.2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 spans="1:27" ht="15.75" thickBot="1" x14ac:dyDescent="0.2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 spans="1:27" ht="15.75" thickBot="1" x14ac:dyDescent="0.25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 spans="1:27" ht="15.75" thickBot="1" x14ac:dyDescent="0.25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 spans="1:27" ht="15.75" thickBot="1" x14ac:dyDescent="0.25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 spans="1:27" ht="15.75" thickBot="1" x14ac:dyDescent="0.25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 spans="1:27" ht="15.75" thickBot="1" x14ac:dyDescent="0.25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 spans="1:27" ht="15.75" thickBot="1" x14ac:dyDescent="0.25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 spans="1:27" ht="15.75" thickBot="1" x14ac:dyDescent="0.25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 spans="1:27" ht="15.75" thickBot="1" x14ac:dyDescent="0.25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 spans="1:27" ht="15.75" thickBot="1" x14ac:dyDescent="0.25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 spans="1:27" ht="15.75" thickBot="1" x14ac:dyDescent="0.2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 spans="1:27" ht="15.75" thickBot="1" x14ac:dyDescent="0.25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 spans="1:27" ht="15.75" thickBot="1" x14ac:dyDescent="0.25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 spans="1:27" ht="15.75" thickBot="1" x14ac:dyDescent="0.25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 spans="1:27" ht="15.75" thickBot="1" x14ac:dyDescent="0.25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 spans="1:27" ht="15.75" thickBot="1" x14ac:dyDescent="0.25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 spans="1:27" ht="15.75" thickBot="1" x14ac:dyDescent="0.25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 spans="1:27" ht="15.75" thickBot="1" x14ac:dyDescent="0.25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 spans="1:27" ht="15.75" thickBot="1" x14ac:dyDescent="0.25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 spans="1:27" ht="15.75" thickBot="1" x14ac:dyDescent="0.25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 spans="1:27" ht="15.75" thickBot="1" x14ac:dyDescent="0.2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 spans="1:27" ht="15.75" thickBot="1" x14ac:dyDescent="0.25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 spans="1:27" ht="15.75" thickBot="1" x14ac:dyDescent="0.25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 spans="1:27" ht="15.75" thickBot="1" x14ac:dyDescent="0.25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 spans="1:27" ht="15.75" thickBot="1" x14ac:dyDescent="0.25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 spans="1:27" ht="15.75" thickBot="1" x14ac:dyDescent="0.25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 spans="1:27" ht="15.75" thickBot="1" x14ac:dyDescent="0.25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 spans="1:27" ht="15.75" thickBot="1" x14ac:dyDescent="0.25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 spans="1:27" ht="15.75" thickBot="1" x14ac:dyDescent="0.25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 spans="1:27" ht="15.75" thickBot="1" x14ac:dyDescent="0.25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 spans="1:27" ht="15.75" thickBot="1" x14ac:dyDescent="0.2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 spans="1:27" ht="15.75" thickBot="1" x14ac:dyDescent="0.25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 spans="1:27" ht="15.75" thickBot="1" x14ac:dyDescent="0.25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 spans="1:27" ht="15.75" thickBot="1" x14ac:dyDescent="0.25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 spans="1:27" ht="15.75" thickBot="1" x14ac:dyDescent="0.25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 spans="1:27" ht="15.75" thickBot="1" x14ac:dyDescent="0.25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 spans="1:27" ht="15.75" thickBot="1" x14ac:dyDescent="0.25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 spans="1:27" ht="15.75" thickBot="1" x14ac:dyDescent="0.25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 spans="1:27" ht="15.75" thickBot="1" x14ac:dyDescent="0.25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 spans="1:27" ht="15.75" thickBot="1" x14ac:dyDescent="0.25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 spans="1:27" ht="15.75" thickBot="1" x14ac:dyDescent="0.2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 spans="1:27" ht="15.75" thickBot="1" x14ac:dyDescent="0.25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 spans="1:27" ht="15.75" thickBot="1" x14ac:dyDescent="0.25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 spans="1:27" ht="15.75" thickBot="1" x14ac:dyDescent="0.25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 spans="1:27" ht="15.75" thickBot="1" x14ac:dyDescent="0.25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 spans="1:27" ht="15.75" thickBot="1" x14ac:dyDescent="0.25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 spans="1:27" ht="15.75" thickBot="1" x14ac:dyDescent="0.25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 spans="1:27" ht="15.75" thickBot="1" x14ac:dyDescent="0.25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 spans="1:27" ht="15.75" thickBot="1" x14ac:dyDescent="0.25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 spans="1:27" ht="15.75" thickBot="1" x14ac:dyDescent="0.25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 spans="1:27" ht="15.75" thickBot="1" x14ac:dyDescent="0.2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 spans="1:27" ht="15.75" thickBot="1" x14ac:dyDescent="0.25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 spans="1:27" ht="15.75" thickBot="1" x14ac:dyDescent="0.25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 spans="1:27" ht="15.75" thickBot="1" x14ac:dyDescent="0.25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 spans="1:27" ht="15.75" thickBot="1" x14ac:dyDescent="0.25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 spans="1:27" ht="15.75" thickBot="1" x14ac:dyDescent="0.25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 spans="1:27" ht="15.75" thickBot="1" x14ac:dyDescent="0.25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 spans="1:27" ht="15.75" thickBot="1" x14ac:dyDescent="0.25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 spans="1:27" ht="15.75" thickBot="1" x14ac:dyDescent="0.25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 spans="1:27" ht="15.75" thickBot="1" x14ac:dyDescent="0.25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 spans="1:27" ht="15.75" thickBot="1" x14ac:dyDescent="0.2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 spans="1:27" ht="15.75" thickBot="1" x14ac:dyDescent="0.25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 spans="1:27" ht="15.75" thickBot="1" x14ac:dyDescent="0.25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 spans="1:27" ht="15.75" thickBot="1" x14ac:dyDescent="0.25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 spans="1:27" ht="15.75" thickBot="1" x14ac:dyDescent="0.25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 spans="1:27" ht="15.75" thickBot="1" x14ac:dyDescent="0.25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 spans="1:27" ht="15.75" thickBot="1" x14ac:dyDescent="0.25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 spans="1:27" ht="15.75" thickBot="1" x14ac:dyDescent="0.25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 spans="1:27" ht="15.75" thickBot="1" x14ac:dyDescent="0.25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 spans="1:27" ht="15.75" thickBot="1" x14ac:dyDescent="0.25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 spans="1:27" ht="15.75" thickBot="1" x14ac:dyDescent="0.2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 spans="1:27" ht="15.75" thickBot="1" x14ac:dyDescent="0.25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 spans="1:27" ht="15.75" thickBot="1" x14ac:dyDescent="0.25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 spans="1:27" ht="15.75" thickBot="1" x14ac:dyDescent="0.25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 spans="1:27" ht="15.75" thickBot="1" x14ac:dyDescent="0.25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 spans="1:27" ht="15.75" thickBot="1" x14ac:dyDescent="0.25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 spans="1:27" ht="15.75" thickBot="1" x14ac:dyDescent="0.25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 spans="1:27" ht="15.75" thickBot="1" x14ac:dyDescent="0.25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 spans="1:27" ht="15.75" thickBot="1" x14ac:dyDescent="0.25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 spans="1:27" ht="15.75" thickBot="1" x14ac:dyDescent="0.25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 spans="1:27" ht="15.75" thickBot="1" x14ac:dyDescent="0.2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 spans="1:27" ht="15.75" thickBot="1" x14ac:dyDescent="0.25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 spans="1:27" ht="15.75" thickBot="1" x14ac:dyDescent="0.25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 spans="1:27" ht="15.75" thickBot="1" x14ac:dyDescent="0.25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 spans="1:27" ht="15.75" thickBot="1" x14ac:dyDescent="0.25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 spans="1:27" ht="15.75" thickBot="1" x14ac:dyDescent="0.25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 spans="1:27" ht="15.75" thickBot="1" x14ac:dyDescent="0.25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 spans="1:27" ht="15.75" thickBot="1" x14ac:dyDescent="0.25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 spans="1:27" ht="15.75" thickBot="1" x14ac:dyDescent="0.25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 spans="1:27" ht="15.75" thickBot="1" x14ac:dyDescent="0.25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 spans="1:27" ht="15.75" thickBot="1" x14ac:dyDescent="0.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 spans="1:27" ht="15.75" thickBot="1" x14ac:dyDescent="0.25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 spans="1:27" ht="15.75" thickBot="1" x14ac:dyDescent="0.2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 spans="1:27" ht="15.75" thickBot="1" x14ac:dyDescent="0.25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 spans="1:27" ht="15.75" thickBot="1" x14ac:dyDescent="0.25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 spans="1:27" ht="15.75" thickBot="1" x14ac:dyDescent="0.25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 spans="1:27" ht="15.75" thickBot="1" x14ac:dyDescent="0.25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 spans="1:27" ht="15.75" thickBot="1" x14ac:dyDescent="0.25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 spans="1:27" ht="15.75" thickBot="1" x14ac:dyDescent="0.25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 spans="1:27" ht="15.75" thickBot="1" x14ac:dyDescent="0.25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 spans="1:27" ht="15.75" thickBot="1" x14ac:dyDescent="0.2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 spans="1:27" ht="15.75" thickBot="1" x14ac:dyDescent="0.25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 spans="1:27" ht="15.75" thickBot="1" x14ac:dyDescent="0.25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 spans="1:27" ht="15.75" thickBot="1" x14ac:dyDescent="0.25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 spans="1:27" ht="15.75" thickBot="1" x14ac:dyDescent="0.25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 spans="1:27" ht="15.75" thickBot="1" x14ac:dyDescent="0.25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 spans="1:27" ht="15.75" thickBot="1" x14ac:dyDescent="0.25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 spans="1:27" ht="15.75" thickBot="1" x14ac:dyDescent="0.25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 spans="1:27" ht="15.75" thickBot="1" x14ac:dyDescent="0.25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 spans="1:27" ht="15.75" thickBot="1" x14ac:dyDescent="0.25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 spans="1:27" ht="15.75" thickBot="1" x14ac:dyDescent="0.2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 spans="1:27" ht="15.75" thickBot="1" x14ac:dyDescent="0.25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 spans="1:27" ht="15.75" thickBot="1" x14ac:dyDescent="0.25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 spans="1:27" ht="15.75" thickBot="1" x14ac:dyDescent="0.25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 spans="1:27" ht="15.75" thickBot="1" x14ac:dyDescent="0.25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 spans="1:27" ht="15.75" thickBot="1" x14ac:dyDescent="0.25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 spans="1:27" ht="15.75" thickBot="1" x14ac:dyDescent="0.25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 spans="1:27" ht="15.75" thickBot="1" x14ac:dyDescent="0.25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 spans="1:27" ht="15.75" thickBot="1" x14ac:dyDescent="0.25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 spans="1:27" ht="15.75" thickBot="1" x14ac:dyDescent="0.25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 spans="1:27" ht="15.75" thickBot="1" x14ac:dyDescent="0.2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 spans="1:27" ht="15.75" thickBot="1" x14ac:dyDescent="0.25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 spans="1:27" ht="15.75" thickBot="1" x14ac:dyDescent="0.25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 spans="1:27" ht="15.75" thickBot="1" x14ac:dyDescent="0.25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 spans="1:27" ht="15.75" thickBot="1" x14ac:dyDescent="0.25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 spans="1:27" ht="15.75" thickBot="1" x14ac:dyDescent="0.25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 spans="1:27" ht="15.75" thickBot="1" x14ac:dyDescent="0.25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 spans="1:27" ht="15.75" thickBot="1" x14ac:dyDescent="0.25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 spans="1:27" ht="15.75" thickBot="1" x14ac:dyDescent="0.25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 spans="1:27" ht="15.75" thickBot="1" x14ac:dyDescent="0.25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 spans="1:27" ht="15.75" thickBot="1" x14ac:dyDescent="0.2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 spans="1:27" ht="15.75" thickBot="1" x14ac:dyDescent="0.25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 spans="1:27" ht="15.75" thickBot="1" x14ac:dyDescent="0.25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 spans="1:27" ht="15.75" thickBot="1" x14ac:dyDescent="0.25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 spans="1:27" ht="15.75" thickBot="1" x14ac:dyDescent="0.25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 spans="1:27" ht="15.75" thickBot="1" x14ac:dyDescent="0.25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 spans="1:27" ht="15.75" thickBot="1" x14ac:dyDescent="0.25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 spans="1:27" ht="15.75" thickBot="1" x14ac:dyDescent="0.25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 spans="1:27" ht="15.75" thickBot="1" x14ac:dyDescent="0.25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 spans="1:27" ht="15.75" thickBot="1" x14ac:dyDescent="0.25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 spans="1:27" ht="15.75" thickBot="1" x14ac:dyDescent="0.2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 spans="1:27" ht="15.75" thickBot="1" x14ac:dyDescent="0.25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 spans="1:27" ht="15.75" thickBot="1" x14ac:dyDescent="0.25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 spans="1:27" ht="15.75" thickBot="1" x14ac:dyDescent="0.25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 spans="1:27" ht="15.75" thickBot="1" x14ac:dyDescent="0.25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 spans="1:27" ht="15.75" thickBot="1" x14ac:dyDescent="0.25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 spans="1:27" ht="15.75" thickBot="1" x14ac:dyDescent="0.25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 spans="1:27" ht="15.75" thickBot="1" x14ac:dyDescent="0.25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 spans="1:27" ht="15.75" thickBot="1" x14ac:dyDescent="0.25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 spans="1:27" ht="15.75" thickBot="1" x14ac:dyDescent="0.25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 spans="1:27" ht="15.75" thickBot="1" x14ac:dyDescent="0.2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 spans="1:27" ht="15.75" thickBot="1" x14ac:dyDescent="0.25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 spans="1:27" ht="15.75" thickBot="1" x14ac:dyDescent="0.25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 spans="1:27" ht="15.75" thickBot="1" x14ac:dyDescent="0.25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 spans="1:27" ht="15.75" thickBot="1" x14ac:dyDescent="0.25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 spans="1:27" ht="15.75" thickBot="1" x14ac:dyDescent="0.25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 spans="1:27" ht="15.75" thickBot="1" x14ac:dyDescent="0.25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 spans="1:27" ht="15.75" thickBot="1" x14ac:dyDescent="0.25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 spans="1:27" ht="15.75" thickBot="1" x14ac:dyDescent="0.25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 spans="1:27" ht="15.75" thickBot="1" x14ac:dyDescent="0.25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 spans="1:27" ht="15.75" thickBot="1" x14ac:dyDescent="0.2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 spans="1:27" ht="15.75" thickBot="1" x14ac:dyDescent="0.25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 spans="1:27" ht="15.75" thickBot="1" x14ac:dyDescent="0.25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 spans="1:27" ht="15.75" thickBot="1" x14ac:dyDescent="0.25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 spans="1:27" ht="15.75" thickBot="1" x14ac:dyDescent="0.25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 spans="1:27" ht="15.75" thickBot="1" x14ac:dyDescent="0.25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 spans="1:27" ht="15.75" thickBot="1" x14ac:dyDescent="0.25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 spans="1:27" ht="15.75" thickBot="1" x14ac:dyDescent="0.25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 spans="1:27" ht="15.75" thickBot="1" x14ac:dyDescent="0.25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 spans="1:27" ht="15.75" thickBot="1" x14ac:dyDescent="0.25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 spans="1:27" ht="15.75" thickBot="1" x14ac:dyDescent="0.2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 spans="1:27" ht="15.75" thickBot="1" x14ac:dyDescent="0.25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 spans="1:27" ht="15.75" thickBot="1" x14ac:dyDescent="0.25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 spans="1:27" ht="15.75" thickBot="1" x14ac:dyDescent="0.25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 spans="1:27" ht="15.75" thickBot="1" x14ac:dyDescent="0.25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 spans="1:27" ht="15.75" thickBot="1" x14ac:dyDescent="0.25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 spans="1:27" ht="15.75" thickBot="1" x14ac:dyDescent="0.25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 spans="1:27" ht="15.75" thickBot="1" x14ac:dyDescent="0.25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 spans="1:27" ht="15.75" thickBot="1" x14ac:dyDescent="0.25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 spans="1:27" ht="15.75" thickBot="1" x14ac:dyDescent="0.25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 spans="1:27" ht="15.75" thickBot="1" x14ac:dyDescent="0.2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 spans="1:27" ht="15.75" thickBot="1" x14ac:dyDescent="0.25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 spans="1:27" ht="15.75" thickBot="1" x14ac:dyDescent="0.25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 spans="1:27" ht="15.75" thickBot="1" x14ac:dyDescent="0.25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 spans="1:27" ht="15.75" thickBot="1" x14ac:dyDescent="0.25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 spans="1:27" ht="15.75" thickBot="1" x14ac:dyDescent="0.25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 spans="1:27" ht="15.75" thickBot="1" x14ac:dyDescent="0.25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 spans="1:27" ht="15.75" thickBot="1" x14ac:dyDescent="0.25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 spans="1:27" ht="15.75" thickBot="1" x14ac:dyDescent="0.25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 spans="1:27" ht="15.75" thickBot="1" x14ac:dyDescent="0.25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 spans="1:27" ht="15.75" thickBot="1" x14ac:dyDescent="0.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 spans="1:27" ht="15.75" thickBot="1" x14ac:dyDescent="0.25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 spans="1:27" ht="15.75" thickBot="1" x14ac:dyDescent="0.25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 spans="1:27" ht="15.75" thickBot="1" x14ac:dyDescent="0.25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 spans="1:27" ht="15.75" thickBot="1" x14ac:dyDescent="0.25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 spans="1:27" ht="15.75" thickBot="1" x14ac:dyDescent="0.25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 spans="1:27" ht="15.75" thickBot="1" x14ac:dyDescent="0.25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 spans="1:27" ht="15.75" thickBot="1" x14ac:dyDescent="0.25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 spans="1:27" ht="15.75" thickBot="1" x14ac:dyDescent="0.25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 spans="1:27" ht="15.75" thickBot="1" x14ac:dyDescent="0.25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 spans="1:27" ht="15.75" thickBot="1" x14ac:dyDescent="0.2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 spans="1:27" ht="15.75" thickBot="1" x14ac:dyDescent="0.25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 spans="1:27" ht="15.75" thickBot="1" x14ac:dyDescent="0.25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 spans="1:27" ht="15.75" thickBot="1" x14ac:dyDescent="0.25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 spans="1:27" ht="15.75" thickBot="1" x14ac:dyDescent="0.25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 spans="1:27" ht="15.75" thickBot="1" x14ac:dyDescent="0.25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 spans="1:27" ht="15.75" thickBot="1" x14ac:dyDescent="0.25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 spans="1:27" ht="15.75" thickBot="1" x14ac:dyDescent="0.25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 spans="1:27" ht="15.75" thickBot="1" x14ac:dyDescent="0.25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 spans="1:27" ht="15.75" thickBot="1" x14ac:dyDescent="0.25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 spans="1:27" ht="15.75" thickBot="1" x14ac:dyDescent="0.2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 spans="1:27" ht="15.75" thickBot="1" x14ac:dyDescent="0.25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 spans="1:27" ht="15.75" thickBot="1" x14ac:dyDescent="0.25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 spans="1:27" ht="15.75" thickBot="1" x14ac:dyDescent="0.25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 spans="1:27" ht="15.75" thickBot="1" x14ac:dyDescent="0.25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 spans="1:27" ht="15.75" thickBot="1" x14ac:dyDescent="0.25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 spans="1:27" ht="15.75" thickBot="1" x14ac:dyDescent="0.25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 spans="1:27" ht="15.75" thickBot="1" x14ac:dyDescent="0.25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 spans="1:27" ht="15.75" thickBot="1" x14ac:dyDescent="0.25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 spans="1:27" ht="15.75" thickBot="1" x14ac:dyDescent="0.25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 spans="1:27" ht="15.75" thickBot="1" x14ac:dyDescent="0.2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 spans="1:27" ht="15.75" thickBot="1" x14ac:dyDescent="0.25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 spans="1:27" ht="15.75" thickBot="1" x14ac:dyDescent="0.25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 spans="1:27" ht="15.75" thickBot="1" x14ac:dyDescent="0.25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 spans="1:27" ht="15.75" thickBot="1" x14ac:dyDescent="0.25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 spans="1:27" ht="15.75" thickBot="1" x14ac:dyDescent="0.25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 spans="1:27" ht="15.75" thickBot="1" x14ac:dyDescent="0.25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 spans="1:27" ht="15.75" thickBot="1" x14ac:dyDescent="0.25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 spans="1:27" ht="15.75" thickBot="1" x14ac:dyDescent="0.25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 spans="1:27" ht="15.75" thickBot="1" x14ac:dyDescent="0.25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 spans="1:27" ht="15.75" thickBot="1" x14ac:dyDescent="0.2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 spans="1:27" ht="15.75" thickBot="1" x14ac:dyDescent="0.25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 spans="1:27" ht="15.75" thickBot="1" x14ac:dyDescent="0.25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 spans="1:27" ht="15.75" thickBot="1" x14ac:dyDescent="0.25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 spans="1:27" ht="15.75" thickBot="1" x14ac:dyDescent="0.25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 spans="1:27" ht="15.75" thickBot="1" x14ac:dyDescent="0.25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 spans="1:27" ht="15.75" thickBot="1" x14ac:dyDescent="0.25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 spans="1:27" ht="15.75" thickBot="1" x14ac:dyDescent="0.25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 spans="1:27" ht="15.75" thickBot="1" x14ac:dyDescent="0.25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 spans="1:27" ht="15.75" thickBot="1" x14ac:dyDescent="0.25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 spans="1:27" ht="15.75" thickBot="1" x14ac:dyDescent="0.2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 spans="1:27" ht="15.75" thickBot="1" x14ac:dyDescent="0.25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 spans="1:27" ht="15.75" thickBot="1" x14ac:dyDescent="0.25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 spans="1:27" ht="15.75" thickBot="1" x14ac:dyDescent="0.25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 spans="1:27" ht="15.75" thickBot="1" x14ac:dyDescent="0.25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 spans="1:27" ht="15.75" thickBot="1" x14ac:dyDescent="0.25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 spans="1:27" ht="15.75" thickBot="1" x14ac:dyDescent="0.25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 spans="1:27" ht="15.75" thickBot="1" x14ac:dyDescent="0.25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 spans="1:27" ht="15.75" thickBot="1" x14ac:dyDescent="0.25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 spans="1:27" ht="15.75" thickBot="1" x14ac:dyDescent="0.25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 spans="1:27" ht="15.75" thickBot="1" x14ac:dyDescent="0.2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 spans="1:27" ht="15.75" thickBot="1" x14ac:dyDescent="0.25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 spans="1:27" ht="15.75" thickBot="1" x14ac:dyDescent="0.25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 spans="1:27" ht="15.75" thickBot="1" x14ac:dyDescent="0.25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 spans="1:27" ht="15.75" thickBot="1" x14ac:dyDescent="0.25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 spans="1:27" ht="15.75" thickBot="1" x14ac:dyDescent="0.25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 spans="1:27" ht="15.75" thickBot="1" x14ac:dyDescent="0.25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 spans="1:27" ht="15.75" thickBot="1" x14ac:dyDescent="0.25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 spans="1:27" ht="15.75" thickBot="1" x14ac:dyDescent="0.25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 spans="1:27" ht="15.75" thickBot="1" x14ac:dyDescent="0.25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 spans="1:27" ht="15.75" thickBot="1" x14ac:dyDescent="0.2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 spans="1:27" ht="15.75" thickBot="1" x14ac:dyDescent="0.25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 spans="1:27" ht="15.75" thickBot="1" x14ac:dyDescent="0.25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 spans="1:27" ht="15.75" thickBot="1" x14ac:dyDescent="0.25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 spans="1:27" ht="15.75" thickBot="1" x14ac:dyDescent="0.25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 spans="1:27" ht="15.75" thickBot="1" x14ac:dyDescent="0.25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 spans="1:27" ht="15.75" thickBot="1" x14ac:dyDescent="0.25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 spans="1:27" ht="15.75" thickBot="1" x14ac:dyDescent="0.25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 spans="1:27" ht="15.75" thickBot="1" x14ac:dyDescent="0.25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 spans="1:27" ht="15.75" thickBot="1" x14ac:dyDescent="0.25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 spans="1:27" ht="15.75" thickBot="1" x14ac:dyDescent="0.2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 spans="1:27" ht="15.75" thickBot="1" x14ac:dyDescent="0.25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 spans="1:27" ht="15.75" thickBot="1" x14ac:dyDescent="0.25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 spans="1:27" ht="15.75" thickBot="1" x14ac:dyDescent="0.25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 spans="1:27" ht="15.75" thickBot="1" x14ac:dyDescent="0.25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 spans="1:27" ht="15.75" thickBot="1" x14ac:dyDescent="0.25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 spans="1:27" ht="15.75" thickBot="1" x14ac:dyDescent="0.25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 spans="1:27" ht="15.75" thickBot="1" x14ac:dyDescent="0.25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 spans="1:27" ht="15.75" thickBot="1" x14ac:dyDescent="0.25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 spans="1:27" ht="15.75" thickBot="1" x14ac:dyDescent="0.25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 spans="1:27" ht="15.75" thickBot="1" x14ac:dyDescent="0.2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 spans="1:27" ht="15.75" thickBot="1" x14ac:dyDescent="0.25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 spans="1:27" ht="15.75" thickBot="1" x14ac:dyDescent="0.25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 spans="1:27" ht="15.75" thickBot="1" x14ac:dyDescent="0.25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 spans="1:27" ht="15.75" thickBot="1" x14ac:dyDescent="0.25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 spans="1:27" ht="15.75" thickBot="1" x14ac:dyDescent="0.25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 spans="1:27" ht="15.75" thickBot="1" x14ac:dyDescent="0.25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 spans="1:27" ht="15.75" thickBot="1" x14ac:dyDescent="0.25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 spans="1:27" ht="15.75" thickBot="1" x14ac:dyDescent="0.25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 spans="1:27" ht="15.75" thickBot="1" x14ac:dyDescent="0.25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 spans="1:27" ht="15.75" thickBot="1" x14ac:dyDescent="0.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 spans="1:27" ht="15.75" thickBot="1" x14ac:dyDescent="0.25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 spans="1:27" ht="15.75" thickBot="1" x14ac:dyDescent="0.25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 spans="1:27" ht="15.75" thickBot="1" x14ac:dyDescent="0.25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 spans="1:27" ht="15.75" thickBot="1" x14ac:dyDescent="0.25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 spans="1:27" ht="15.75" thickBot="1" x14ac:dyDescent="0.25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 spans="1:27" ht="15.75" thickBot="1" x14ac:dyDescent="0.25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 spans="1:27" ht="15.75" thickBot="1" x14ac:dyDescent="0.25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 spans="1:27" ht="15.75" thickBot="1" x14ac:dyDescent="0.25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 spans="1:27" ht="15.75" thickBot="1" x14ac:dyDescent="0.25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 spans="1:27" ht="15.75" thickBot="1" x14ac:dyDescent="0.2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 spans="1:27" ht="15.75" thickBot="1" x14ac:dyDescent="0.25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 spans="1:27" ht="15.75" thickBot="1" x14ac:dyDescent="0.25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 spans="1:27" ht="15.75" thickBot="1" x14ac:dyDescent="0.25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 spans="1:27" ht="15.75" thickBot="1" x14ac:dyDescent="0.25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 spans="1:27" ht="15.75" thickBot="1" x14ac:dyDescent="0.25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 spans="1:27" ht="15.75" thickBot="1" x14ac:dyDescent="0.25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 spans="1:27" ht="15.75" thickBot="1" x14ac:dyDescent="0.25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 spans="1:27" ht="15.75" thickBot="1" x14ac:dyDescent="0.25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 spans="1:27" ht="15.75" thickBot="1" x14ac:dyDescent="0.25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 spans="1:27" ht="15.75" thickBot="1" x14ac:dyDescent="0.2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 spans="1:27" ht="15.75" thickBot="1" x14ac:dyDescent="0.25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 spans="1:27" ht="15.75" thickBot="1" x14ac:dyDescent="0.25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 spans="1:27" ht="15.75" thickBot="1" x14ac:dyDescent="0.25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 spans="1:27" ht="15.75" thickBot="1" x14ac:dyDescent="0.25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 spans="1:27" ht="15.75" thickBot="1" x14ac:dyDescent="0.25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 spans="1:27" ht="15.75" thickBot="1" x14ac:dyDescent="0.25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 spans="1:27" ht="15.75" thickBot="1" x14ac:dyDescent="0.25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 spans="1:27" ht="15.75" thickBot="1" x14ac:dyDescent="0.25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 spans="1:27" ht="15.75" thickBot="1" x14ac:dyDescent="0.25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 spans="1:27" ht="15.75" thickBot="1" x14ac:dyDescent="0.2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 spans="1:27" ht="15.75" thickBot="1" x14ac:dyDescent="0.25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 spans="1:27" ht="15.75" thickBot="1" x14ac:dyDescent="0.25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 spans="1:27" ht="15.75" thickBot="1" x14ac:dyDescent="0.25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 spans="1:27" ht="15.75" thickBot="1" x14ac:dyDescent="0.25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 spans="1:27" ht="15.75" thickBot="1" x14ac:dyDescent="0.25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 spans="1:27" ht="15.75" thickBot="1" x14ac:dyDescent="0.25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 spans="1:27" ht="15.75" thickBot="1" x14ac:dyDescent="0.25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 spans="1:27" ht="15.75" thickBot="1" x14ac:dyDescent="0.25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 spans="1:27" ht="15.75" thickBot="1" x14ac:dyDescent="0.25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 spans="1:27" ht="15.75" thickBot="1" x14ac:dyDescent="0.2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 spans="1:27" ht="15.75" thickBot="1" x14ac:dyDescent="0.25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 spans="1:27" ht="15.75" thickBot="1" x14ac:dyDescent="0.25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 spans="1:27" ht="15.75" thickBot="1" x14ac:dyDescent="0.25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 spans="1:27" ht="15.75" thickBot="1" x14ac:dyDescent="0.25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 spans="1:27" ht="15.75" thickBot="1" x14ac:dyDescent="0.25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 spans="1:27" ht="15.75" thickBot="1" x14ac:dyDescent="0.25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 spans="1:27" ht="15.75" thickBot="1" x14ac:dyDescent="0.25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 spans="1:27" ht="15.75" thickBot="1" x14ac:dyDescent="0.25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 spans="1:27" ht="15.75" thickBot="1" x14ac:dyDescent="0.25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 spans="1:27" ht="15.75" thickBot="1" x14ac:dyDescent="0.2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 spans="1:27" ht="15.75" thickBot="1" x14ac:dyDescent="0.25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 spans="1:27" ht="15.75" thickBot="1" x14ac:dyDescent="0.25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 spans="1:27" ht="15.75" thickBot="1" x14ac:dyDescent="0.25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 spans="1:27" ht="15.75" thickBot="1" x14ac:dyDescent="0.25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 spans="1:27" ht="15.75" thickBot="1" x14ac:dyDescent="0.25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 spans="1:27" ht="15.75" thickBot="1" x14ac:dyDescent="0.25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 spans="1:27" ht="15.75" thickBot="1" x14ac:dyDescent="0.25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 spans="1:27" ht="15.75" thickBot="1" x14ac:dyDescent="0.25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 spans="1:27" ht="15.75" thickBot="1" x14ac:dyDescent="0.25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 spans="1:27" ht="15.75" thickBot="1" x14ac:dyDescent="0.2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 spans="1:27" ht="15.75" thickBot="1" x14ac:dyDescent="0.25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 spans="1:27" ht="15.75" thickBot="1" x14ac:dyDescent="0.25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 spans="1:27" ht="15.75" thickBot="1" x14ac:dyDescent="0.25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 spans="1:27" ht="15.75" thickBot="1" x14ac:dyDescent="0.25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 spans="1:27" ht="15.75" thickBot="1" x14ac:dyDescent="0.25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 spans="1:27" ht="15.75" thickBot="1" x14ac:dyDescent="0.25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 spans="1:27" ht="15.75" thickBot="1" x14ac:dyDescent="0.25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 spans="1:27" ht="15.75" thickBot="1" x14ac:dyDescent="0.25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 spans="1:27" ht="15.75" thickBot="1" x14ac:dyDescent="0.25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 spans="1:27" ht="15.75" thickBot="1" x14ac:dyDescent="0.2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 spans="1:27" ht="15.75" thickBot="1" x14ac:dyDescent="0.25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 spans="1:27" ht="15.75" thickBot="1" x14ac:dyDescent="0.25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 spans="1:27" ht="15.75" thickBot="1" x14ac:dyDescent="0.25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 spans="1:27" ht="15.75" thickBot="1" x14ac:dyDescent="0.25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 spans="1:27" ht="15.75" thickBot="1" x14ac:dyDescent="0.25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 spans="1:27" ht="15.75" thickBot="1" x14ac:dyDescent="0.25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 spans="1:27" ht="15.75" thickBot="1" x14ac:dyDescent="0.25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 spans="1:27" ht="15.75" thickBot="1" x14ac:dyDescent="0.25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 spans="1:27" ht="15.75" thickBot="1" x14ac:dyDescent="0.25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 spans="1:27" ht="15.75" thickBot="1" x14ac:dyDescent="0.2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 spans="1:27" ht="15.75" thickBot="1" x14ac:dyDescent="0.25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 spans="1:27" ht="15.75" thickBot="1" x14ac:dyDescent="0.25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 spans="1:27" ht="15.75" thickBot="1" x14ac:dyDescent="0.25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 spans="1:27" ht="15.75" thickBot="1" x14ac:dyDescent="0.25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 spans="1:27" ht="15.75" thickBot="1" x14ac:dyDescent="0.25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 spans="1:27" ht="15.75" thickBot="1" x14ac:dyDescent="0.25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 spans="1:27" ht="15.75" thickBot="1" x14ac:dyDescent="0.25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 spans="1:27" ht="15.75" thickBot="1" x14ac:dyDescent="0.25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 spans="1:27" ht="15.75" thickBot="1" x14ac:dyDescent="0.25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 spans="1:27" ht="15.75" thickBot="1" x14ac:dyDescent="0.2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 spans="1:27" ht="15.75" thickBot="1" x14ac:dyDescent="0.25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 spans="1:27" ht="15.75" thickBot="1" x14ac:dyDescent="0.25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 spans="1:27" ht="15.75" thickBot="1" x14ac:dyDescent="0.25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 spans="1:27" ht="15.75" thickBot="1" x14ac:dyDescent="0.25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 spans="1:27" ht="15.75" thickBot="1" x14ac:dyDescent="0.25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 spans="1:27" ht="15.75" thickBot="1" x14ac:dyDescent="0.25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 spans="1:27" ht="15.75" thickBot="1" x14ac:dyDescent="0.25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 spans="1:27" ht="15.75" thickBot="1" x14ac:dyDescent="0.25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 spans="1:27" ht="15.75" thickBot="1" x14ac:dyDescent="0.25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 spans="1:27" ht="15.75" thickBot="1" x14ac:dyDescent="0.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 spans="1:27" ht="15.75" thickBot="1" x14ac:dyDescent="0.25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 spans="1:27" ht="15.75" thickBot="1" x14ac:dyDescent="0.25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 spans="1:27" ht="15.75" thickBot="1" x14ac:dyDescent="0.25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 spans="1:27" ht="15.75" thickBot="1" x14ac:dyDescent="0.25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 spans="1:27" ht="15.75" thickBot="1" x14ac:dyDescent="0.25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 spans="1:27" ht="15.75" thickBot="1" x14ac:dyDescent="0.25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 spans="1:27" ht="15.75" thickBot="1" x14ac:dyDescent="0.25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 spans="1:27" ht="15.75" thickBot="1" x14ac:dyDescent="0.25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 spans="1:27" ht="15.75" thickBot="1" x14ac:dyDescent="0.25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 spans="1:27" ht="15.75" thickBot="1" x14ac:dyDescent="0.2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 spans="1:27" ht="15.75" thickBot="1" x14ac:dyDescent="0.25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 spans="1:27" ht="15.75" thickBot="1" x14ac:dyDescent="0.25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 spans="1:27" ht="15.75" thickBot="1" x14ac:dyDescent="0.25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 spans="1:27" ht="15.75" thickBot="1" x14ac:dyDescent="0.25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 spans="1:27" ht="15.75" thickBot="1" x14ac:dyDescent="0.25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 spans="1:27" ht="15.75" thickBot="1" x14ac:dyDescent="0.25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 spans="1:27" ht="15.75" thickBot="1" x14ac:dyDescent="0.25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 spans="1:27" ht="15.75" thickBot="1" x14ac:dyDescent="0.25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 spans="1:27" ht="15.75" thickBot="1" x14ac:dyDescent="0.25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 spans="1:27" ht="15.75" thickBot="1" x14ac:dyDescent="0.2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 spans="1:27" ht="15.75" thickBot="1" x14ac:dyDescent="0.25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 spans="1:27" ht="15.75" thickBot="1" x14ac:dyDescent="0.25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 spans="1:27" ht="15.75" thickBot="1" x14ac:dyDescent="0.25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 spans="1:27" ht="15.75" thickBot="1" x14ac:dyDescent="0.25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 spans="1:27" ht="15.75" thickBot="1" x14ac:dyDescent="0.25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 spans="1:27" ht="15.75" thickBot="1" x14ac:dyDescent="0.25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 spans="1:27" ht="15.75" thickBot="1" x14ac:dyDescent="0.25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 spans="1:27" ht="15.75" thickBot="1" x14ac:dyDescent="0.25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 spans="1:27" ht="15.75" thickBot="1" x14ac:dyDescent="0.25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 spans="1:27" ht="15.75" thickBot="1" x14ac:dyDescent="0.2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 spans="1:27" ht="15.75" thickBot="1" x14ac:dyDescent="0.25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 spans="1:27" ht="15.75" thickBot="1" x14ac:dyDescent="0.25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 spans="1:27" ht="15.75" thickBot="1" x14ac:dyDescent="0.25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 spans="1:27" ht="15.75" thickBot="1" x14ac:dyDescent="0.25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 spans="1:27" ht="15.75" thickBot="1" x14ac:dyDescent="0.25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 spans="1:27" ht="15.75" thickBot="1" x14ac:dyDescent="0.25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 spans="1:27" ht="15.75" thickBot="1" x14ac:dyDescent="0.25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 spans="1:27" ht="15.75" thickBot="1" x14ac:dyDescent="0.25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 spans="1:27" ht="15.75" thickBot="1" x14ac:dyDescent="0.25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 spans="1:27" ht="15.75" thickBot="1" x14ac:dyDescent="0.2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 spans="1:27" ht="15.75" thickBot="1" x14ac:dyDescent="0.25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 spans="1:27" ht="15.75" thickBot="1" x14ac:dyDescent="0.25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 spans="1:27" ht="15.75" thickBot="1" x14ac:dyDescent="0.25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 spans="1:27" ht="15.75" thickBot="1" x14ac:dyDescent="0.25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 spans="1:27" ht="15.75" thickBot="1" x14ac:dyDescent="0.25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 spans="1:27" ht="15.75" thickBot="1" x14ac:dyDescent="0.25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 spans="1:27" ht="15.75" thickBot="1" x14ac:dyDescent="0.25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 spans="1:27" ht="15.75" thickBot="1" x14ac:dyDescent="0.25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 spans="1:27" ht="15.75" thickBot="1" x14ac:dyDescent="0.25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 spans="1:27" ht="15.75" thickBot="1" x14ac:dyDescent="0.2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 spans="1:27" ht="15.75" thickBot="1" x14ac:dyDescent="0.25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 spans="1:27" ht="15.75" thickBot="1" x14ac:dyDescent="0.25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 spans="1:27" ht="15.75" thickBot="1" x14ac:dyDescent="0.25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 spans="1:27" ht="15.75" thickBot="1" x14ac:dyDescent="0.25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 spans="1:27" ht="15.75" thickBot="1" x14ac:dyDescent="0.25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 spans="1:27" ht="15.75" thickBot="1" x14ac:dyDescent="0.25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 spans="1:27" ht="15.75" thickBot="1" x14ac:dyDescent="0.25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 spans="1:27" ht="15.75" thickBot="1" x14ac:dyDescent="0.25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 spans="1:27" ht="15.75" thickBot="1" x14ac:dyDescent="0.25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 spans="1:27" ht="15.75" thickBot="1" x14ac:dyDescent="0.2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 spans="1:27" ht="15.75" thickBot="1" x14ac:dyDescent="0.25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 spans="1:27" ht="15.75" thickBot="1" x14ac:dyDescent="0.25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 spans="1:27" ht="15.75" thickBot="1" x14ac:dyDescent="0.25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 spans="1:27" ht="15.75" thickBot="1" x14ac:dyDescent="0.25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 spans="1:27" ht="15.75" thickBot="1" x14ac:dyDescent="0.25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 spans="1:27" ht="15.75" thickBot="1" x14ac:dyDescent="0.25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 spans="1:27" ht="15.75" thickBot="1" x14ac:dyDescent="0.25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 spans="1:27" ht="15.75" thickBot="1" x14ac:dyDescent="0.25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 spans="1:27" ht="15.75" thickBot="1" x14ac:dyDescent="0.25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 spans="1:27" ht="15.75" thickBot="1" x14ac:dyDescent="0.2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 spans="1:27" ht="15.75" thickBot="1" x14ac:dyDescent="0.25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 spans="1:27" ht="15.75" thickBot="1" x14ac:dyDescent="0.25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 spans="1:27" ht="15.75" thickBot="1" x14ac:dyDescent="0.25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 spans="1:27" ht="15.75" thickBot="1" x14ac:dyDescent="0.25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 spans="1:27" ht="15.75" thickBot="1" x14ac:dyDescent="0.25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 spans="1:27" ht="15.75" thickBot="1" x14ac:dyDescent="0.25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 spans="1:27" ht="15.75" thickBot="1" x14ac:dyDescent="0.25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 spans="1:27" ht="15.75" thickBot="1" x14ac:dyDescent="0.25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 spans="1:27" ht="15.75" thickBot="1" x14ac:dyDescent="0.25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 spans="1:27" ht="15.75" thickBot="1" x14ac:dyDescent="0.2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 spans="1:27" ht="15.75" thickBot="1" x14ac:dyDescent="0.25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 spans="1:27" ht="15.75" thickBot="1" x14ac:dyDescent="0.25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 spans="1:27" ht="15.75" thickBot="1" x14ac:dyDescent="0.25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 spans="1:27" ht="15.75" thickBot="1" x14ac:dyDescent="0.25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 spans="1:27" ht="15.75" thickBot="1" x14ac:dyDescent="0.25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 spans="1:27" ht="15.75" thickBot="1" x14ac:dyDescent="0.25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 spans="1:27" ht="15.75" thickBot="1" x14ac:dyDescent="0.25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 spans="1:27" ht="15.75" thickBot="1" x14ac:dyDescent="0.25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 spans="1:27" ht="15.75" thickBot="1" x14ac:dyDescent="0.25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 spans="1:27" ht="15.75" thickBot="1" x14ac:dyDescent="0.2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 spans="1:27" ht="15.75" thickBot="1" x14ac:dyDescent="0.25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 spans="1:27" ht="15.75" thickBot="1" x14ac:dyDescent="0.25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 spans="1:27" ht="15.75" thickBot="1" x14ac:dyDescent="0.25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 spans="1:27" ht="15.75" thickBot="1" x14ac:dyDescent="0.25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 spans="1:27" ht="15.75" thickBot="1" x14ac:dyDescent="0.25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 spans="1:27" ht="15.75" thickBot="1" x14ac:dyDescent="0.25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 spans="1:27" ht="15.75" thickBot="1" x14ac:dyDescent="0.25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 spans="1:27" ht="15.75" thickBot="1" x14ac:dyDescent="0.25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 spans="1:27" ht="15.75" thickBot="1" x14ac:dyDescent="0.25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 spans="1:27" ht="15.75" thickBot="1" x14ac:dyDescent="0.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 spans="1:27" ht="15.75" thickBot="1" x14ac:dyDescent="0.25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 spans="1:27" ht="15.75" thickBot="1" x14ac:dyDescent="0.25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 spans="1:27" ht="15.75" thickBot="1" x14ac:dyDescent="0.25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 spans="1:27" ht="15.75" thickBot="1" x14ac:dyDescent="0.25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 spans="1:27" ht="15.75" thickBot="1" x14ac:dyDescent="0.25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 spans="1:27" ht="15.75" thickBot="1" x14ac:dyDescent="0.25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 spans="1:27" ht="15.75" thickBot="1" x14ac:dyDescent="0.25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 spans="1:27" ht="15.75" thickBot="1" x14ac:dyDescent="0.25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 spans="1:27" ht="15.75" thickBot="1" x14ac:dyDescent="0.25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 spans="1:27" ht="15.75" thickBot="1" x14ac:dyDescent="0.2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 spans="1:27" ht="15.75" thickBot="1" x14ac:dyDescent="0.25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 spans="1:27" ht="15.75" thickBot="1" x14ac:dyDescent="0.25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 spans="1:27" ht="15.75" thickBot="1" x14ac:dyDescent="0.25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 spans="1:27" ht="15.75" thickBot="1" x14ac:dyDescent="0.25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 spans="1:27" ht="15.75" thickBot="1" x14ac:dyDescent="0.25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 spans="1:27" ht="15.75" thickBot="1" x14ac:dyDescent="0.25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 spans="1:27" ht="15.75" thickBot="1" x14ac:dyDescent="0.25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 spans="1:27" ht="15.75" thickBot="1" x14ac:dyDescent="0.25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 spans="1:27" ht="15.75" thickBot="1" x14ac:dyDescent="0.25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 spans="1:27" ht="15.75" thickBot="1" x14ac:dyDescent="0.2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 spans="1:27" ht="15.75" thickBot="1" x14ac:dyDescent="0.25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 spans="1:27" ht="15.75" thickBot="1" x14ac:dyDescent="0.25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 spans="1:27" ht="15.75" thickBot="1" x14ac:dyDescent="0.25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 spans="1:27" ht="15.75" thickBot="1" x14ac:dyDescent="0.25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 spans="1:27" ht="15.75" thickBot="1" x14ac:dyDescent="0.25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 spans="1:27" ht="15.75" thickBot="1" x14ac:dyDescent="0.25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 spans="1:27" ht="15.75" thickBot="1" x14ac:dyDescent="0.25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 spans="1:27" ht="15.75" thickBot="1" x14ac:dyDescent="0.25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 spans="1:27" ht="15.75" thickBot="1" x14ac:dyDescent="0.25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 spans="1:27" ht="15.75" thickBot="1" x14ac:dyDescent="0.2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 spans="1:27" ht="15.75" thickBot="1" x14ac:dyDescent="0.25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 spans="1:27" ht="15.75" thickBot="1" x14ac:dyDescent="0.25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 spans="1:27" ht="15.75" thickBot="1" x14ac:dyDescent="0.25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 spans="1:27" ht="15.75" thickBot="1" x14ac:dyDescent="0.25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 spans="1:27" ht="15.75" thickBot="1" x14ac:dyDescent="0.25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 spans="1:27" ht="15.75" thickBot="1" x14ac:dyDescent="0.25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 spans="1:27" ht="15.75" thickBot="1" x14ac:dyDescent="0.25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 spans="1:27" ht="15.75" thickBot="1" x14ac:dyDescent="0.25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 spans="1:27" ht="15.75" thickBot="1" x14ac:dyDescent="0.25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 spans="1:27" ht="15.75" thickBot="1" x14ac:dyDescent="0.2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 spans="1:27" ht="15.75" thickBot="1" x14ac:dyDescent="0.25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 spans="1:27" ht="15.75" thickBot="1" x14ac:dyDescent="0.25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 spans="1:27" ht="15.75" thickBot="1" x14ac:dyDescent="0.25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 spans="1:27" ht="15.75" thickBot="1" x14ac:dyDescent="0.25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 spans="1:27" ht="15.75" thickBot="1" x14ac:dyDescent="0.25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 spans="1:27" ht="15.75" thickBot="1" x14ac:dyDescent="0.25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 spans="1:27" ht="15.75" thickBot="1" x14ac:dyDescent="0.25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 spans="1:27" ht="15.75" thickBot="1" x14ac:dyDescent="0.25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 spans="1:27" ht="15.75" thickBot="1" x14ac:dyDescent="0.25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 spans="1:27" ht="15.75" thickBot="1" x14ac:dyDescent="0.2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 spans="1:27" ht="15.75" thickBot="1" x14ac:dyDescent="0.25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 spans="1:27" ht="15.75" thickBot="1" x14ac:dyDescent="0.25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 spans="1:27" ht="15.75" thickBot="1" x14ac:dyDescent="0.25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 spans="1:27" ht="15.75" thickBot="1" x14ac:dyDescent="0.25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 spans="1:27" ht="15.75" thickBot="1" x14ac:dyDescent="0.25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 spans="1:27" ht="15.75" thickBot="1" x14ac:dyDescent="0.25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 spans="1:27" ht="15.75" thickBot="1" x14ac:dyDescent="0.25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 spans="1:27" ht="15.75" thickBot="1" x14ac:dyDescent="0.25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 spans="1:27" ht="15.75" thickBot="1" x14ac:dyDescent="0.25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 spans="1:27" ht="15.75" thickBot="1" x14ac:dyDescent="0.2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 spans="1:27" ht="15.75" thickBot="1" x14ac:dyDescent="0.25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 spans="1:27" ht="15.75" thickBot="1" x14ac:dyDescent="0.25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 spans="1:27" ht="15.75" thickBot="1" x14ac:dyDescent="0.25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 spans="1:27" ht="15.75" thickBot="1" x14ac:dyDescent="0.25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 spans="1:27" ht="15.75" thickBot="1" x14ac:dyDescent="0.25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 spans="1:27" ht="15.75" thickBot="1" x14ac:dyDescent="0.25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 spans="1:27" ht="15.75" thickBot="1" x14ac:dyDescent="0.25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 spans="1:27" ht="15.75" thickBot="1" x14ac:dyDescent="0.25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 spans="1:27" ht="15.75" thickBot="1" x14ac:dyDescent="0.25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 spans="1:27" ht="15.75" thickBot="1" x14ac:dyDescent="0.2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 spans="1:27" ht="15.75" thickBot="1" x14ac:dyDescent="0.25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 spans="1:27" ht="15.75" thickBot="1" x14ac:dyDescent="0.25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 spans="1:27" ht="15.75" thickBot="1" x14ac:dyDescent="0.25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 spans="1:27" ht="15.75" thickBot="1" x14ac:dyDescent="0.25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 spans="1:27" ht="15.75" thickBot="1" x14ac:dyDescent="0.25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 spans="1:27" ht="15.75" thickBot="1" x14ac:dyDescent="0.25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 spans="1:27" ht="15.75" thickBot="1" x14ac:dyDescent="0.25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 spans="1:27" ht="15.75" thickBot="1" x14ac:dyDescent="0.25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 spans="1:27" ht="15.75" thickBot="1" x14ac:dyDescent="0.25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 spans="1:27" ht="15.75" thickBot="1" x14ac:dyDescent="0.2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 spans="1:27" ht="15.75" thickBot="1" x14ac:dyDescent="0.25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 spans="1:27" ht="15.75" thickBot="1" x14ac:dyDescent="0.25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 spans="1:27" ht="15.75" thickBot="1" x14ac:dyDescent="0.25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 spans="1:27" ht="15.75" thickBot="1" x14ac:dyDescent="0.25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 spans="1:27" ht="15.75" thickBot="1" x14ac:dyDescent="0.25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 spans="1:27" ht="15.75" thickBot="1" x14ac:dyDescent="0.25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 spans="1:27" ht="15.75" thickBot="1" x14ac:dyDescent="0.25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 spans="1:27" ht="15.75" thickBot="1" x14ac:dyDescent="0.25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 spans="1:27" ht="15.75" thickBot="1" x14ac:dyDescent="0.25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 spans="1:27" ht="15.75" thickBot="1" x14ac:dyDescent="0.2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 spans="1:27" ht="15.75" thickBot="1" x14ac:dyDescent="0.25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 spans="1:27" ht="15.75" thickBot="1" x14ac:dyDescent="0.25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 spans="1:27" ht="15.75" thickBot="1" x14ac:dyDescent="0.25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 spans="1:27" ht="15.75" thickBot="1" x14ac:dyDescent="0.25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 spans="1:27" ht="15.75" thickBot="1" x14ac:dyDescent="0.25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 spans="1:27" ht="15.75" thickBot="1" x14ac:dyDescent="0.25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 spans="1:27" ht="15.75" thickBot="1" x14ac:dyDescent="0.25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 spans="1:27" ht="15.75" thickBot="1" x14ac:dyDescent="0.25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 spans="1:27" ht="15.75" thickBot="1" x14ac:dyDescent="0.25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 spans="1:27" ht="15.75" thickBot="1" x14ac:dyDescent="0.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 spans="1:27" ht="15.75" thickBot="1" x14ac:dyDescent="0.25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 spans="1:27" ht="15.75" thickBot="1" x14ac:dyDescent="0.25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 spans="1:27" ht="15.75" thickBot="1" x14ac:dyDescent="0.25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 spans="1:27" ht="15.75" thickBot="1" x14ac:dyDescent="0.25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 spans="1:27" ht="15.75" thickBot="1" x14ac:dyDescent="0.25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 spans="1:27" ht="15.75" thickBot="1" x14ac:dyDescent="0.25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 spans="1:27" ht="15.75" thickBot="1" x14ac:dyDescent="0.25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 spans="1:27" ht="15.75" thickBot="1" x14ac:dyDescent="0.25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 spans="1:27" ht="15.75" thickBot="1" x14ac:dyDescent="0.25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 spans="1:27" ht="15.75" thickBot="1" x14ac:dyDescent="0.2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 spans="1:27" ht="15.75" thickBot="1" x14ac:dyDescent="0.25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 spans="1:27" ht="15.75" thickBot="1" x14ac:dyDescent="0.25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 spans="1:27" ht="15.75" thickBot="1" x14ac:dyDescent="0.25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 spans="1:27" ht="15.75" thickBot="1" x14ac:dyDescent="0.25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 spans="1:27" ht="15.75" thickBot="1" x14ac:dyDescent="0.25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 spans="1:27" ht="15.75" thickBot="1" x14ac:dyDescent="0.25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 spans="1:27" ht="15.75" thickBot="1" x14ac:dyDescent="0.25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 spans="1:27" ht="15.75" thickBot="1" x14ac:dyDescent="0.25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 spans="1:27" ht="15.75" thickBot="1" x14ac:dyDescent="0.25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 spans="1:27" ht="15.75" thickBot="1" x14ac:dyDescent="0.2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 spans="1:27" ht="15.75" thickBot="1" x14ac:dyDescent="0.25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 spans="1:27" ht="15.75" thickBot="1" x14ac:dyDescent="0.25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 spans="1:27" ht="15.75" thickBot="1" x14ac:dyDescent="0.25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 spans="1:27" ht="15.75" thickBot="1" x14ac:dyDescent="0.25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 spans="1:27" ht="15.75" thickBot="1" x14ac:dyDescent="0.25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 spans="1:27" ht="15.75" thickBot="1" x14ac:dyDescent="0.25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 spans="1:27" ht="15.75" thickBot="1" x14ac:dyDescent="0.25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 spans="1:27" ht="15.75" thickBot="1" x14ac:dyDescent="0.25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 spans="1:27" ht="15.75" thickBot="1" x14ac:dyDescent="0.25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 spans="1:27" ht="15.75" thickBot="1" x14ac:dyDescent="0.2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 spans="1:27" ht="15.75" thickBot="1" x14ac:dyDescent="0.25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 spans="1:27" ht="15.75" thickBot="1" x14ac:dyDescent="0.25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 spans="1:27" ht="15.75" thickBot="1" x14ac:dyDescent="0.25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 spans="1:27" ht="15.75" thickBot="1" x14ac:dyDescent="0.25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 spans="1:27" ht="15.75" thickBot="1" x14ac:dyDescent="0.25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 spans="1:27" ht="15.75" thickBot="1" x14ac:dyDescent="0.25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 spans="1:27" ht="15.75" thickBot="1" x14ac:dyDescent="0.25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 spans="1:27" ht="15.75" thickBot="1" x14ac:dyDescent="0.25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 spans="1:27" ht="15.75" thickBot="1" x14ac:dyDescent="0.25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 spans="1:27" ht="15.75" thickBot="1" x14ac:dyDescent="0.2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 spans="1:27" ht="15.75" thickBot="1" x14ac:dyDescent="0.25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 spans="1:27" ht="15.75" thickBot="1" x14ac:dyDescent="0.25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 spans="1:27" ht="15.75" thickBot="1" x14ac:dyDescent="0.25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 spans="1:27" ht="15.75" thickBot="1" x14ac:dyDescent="0.25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 spans="1:27" ht="15.75" thickBot="1" x14ac:dyDescent="0.25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 spans="1:27" ht="15.75" thickBot="1" x14ac:dyDescent="0.25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 spans="1:27" ht="15.75" thickBot="1" x14ac:dyDescent="0.25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 spans="1:27" ht="15.75" thickBot="1" x14ac:dyDescent="0.25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 spans="1:27" ht="15.75" thickBot="1" x14ac:dyDescent="0.25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 spans="1:27" ht="15.75" thickBot="1" x14ac:dyDescent="0.2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 spans="1:27" ht="15.75" thickBot="1" x14ac:dyDescent="0.25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 spans="1:27" ht="15.75" thickBot="1" x14ac:dyDescent="0.25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 spans="1:27" ht="15.75" thickBot="1" x14ac:dyDescent="0.25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 spans="1:27" ht="15.75" thickBot="1" x14ac:dyDescent="0.25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 spans="1:27" ht="15.75" thickBot="1" x14ac:dyDescent="0.25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 spans="1:27" ht="15.75" thickBot="1" x14ac:dyDescent="0.25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 spans="1:27" ht="15.75" thickBot="1" x14ac:dyDescent="0.25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 spans="1:27" ht="15.75" thickBot="1" x14ac:dyDescent="0.25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 spans="1:27" ht="15.75" thickBot="1" x14ac:dyDescent="0.25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 spans="1:27" ht="15.75" thickBot="1" x14ac:dyDescent="0.2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 spans="1:27" ht="15.75" thickBot="1" x14ac:dyDescent="0.25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 spans="1:27" ht="15.75" thickBot="1" x14ac:dyDescent="0.25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 spans="1:27" ht="15.75" thickBot="1" x14ac:dyDescent="0.25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 spans="1:27" ht="15.75" thickBot="1" x14ac:dyDescent="0.25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 spans="1:27" ht="15.75" thickBot="1" x14ac:dyDescent="0.25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 spans="1:27" ht="15.75" thickBot="1" x14ac:dyDescent="0.25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 spans="1:27" ht="15.75" thickBot="1" x14ac:dyDescent="0.25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 spans="1:27" ht="15.75" thickBot="1" x14ac:dyDescent="0.25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 spans="1:27" ht="15.75" thickBot="1" x14ac:dyDescent="0.25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 spans="1:27" ht="15.75" thickBot="1" x14ac:dyDescent="0.2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 spans="1:27" ht="15.75" thickBot="1" x14ac:dyDescent="0.25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 spans="1:27" ht="15.75" thickBot="1" x14ac:dyDescent="0.25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 spans="1:27" ht="15.75" thickBot="1" x14ac:dyDescent="0.25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 spans="1:27" ht="15.75" thickBot="1" x14ac:dyDescent="0.25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 spans="1:27" ht="15.75" thickBot="1" x14ac:dyDescent="0.25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 spans="1:27" ht="15.75" thickBot="1" x14ac:dyDescent="0.25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 spans="1:27" ht="15.75" thickBot="1" x14ac:dyDescent="0.25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 spans="1:27" ht="15.75" thickBot="1" x14ac:dyDescent="0.25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 spans="1:27" ht="15.75" thickBot="1" x14ac:dyDescent="0.25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 spans="1:27" ht="15.75" thickBot="1" x14ac:dyDescent="0.2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 spans="1:27" ht="15.75" thickBot="1" x14ac:dyDescent="0.25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 spans="1:27" ht="15.75" thickBot="1" x14ac:dyDescent="0.25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 spans="1:27" ht="15.75" thickBot="1" x14ac:dyDescent="0.25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 spans="1:27" ht="15.75" thickBot="1" x14ac:dyDescent="0.25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 spans="1:27" ht="15.75" thickBot="1" x14ac:dyDescent="0.25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 spans="1:27" ht="15.75" thickBot="1" x14ac:dyDescent="0.25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 spans="1:27" ht="15.75" thickBot="1" x14ac:dyDescent="0.25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 spans="1:27" ht="15.75" thickBot="1" x14ac:dyDescent="0.25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 spans="1:27" ht="15.75" thickBot="1" x14ac:dyDescent="0.25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 spans="1:27" ht="15.75" thickBot="1" x14ac:dyDescent="0.2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 spans="1:27" ht="15.75" thickBot="1" x14ac:dyDescent="0.25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 spans="1:27" ht="15.75" thickBot="1" x14ac:dyDescent="0.25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 spans="1:27" ht="15.75" thickBot="1" x14ac:dyDescent="0.25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 spans="1:27" ht="15.75" thickBot="1" x14ac:dyDescent="0.25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 spans="1:27" ht="15.75" thickBot="1" x14ac:dyDescent="0.25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 spans="1:27" ht="15.75" thickBot="1" x14ac:dyDescent="0.25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 spans="1:27" ht="15.75" thickBot="1" x14ac:dyDescent="0.25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</row>
    <row r="923" spans="1:27" ht="15.75" thickBot="1" x14ac:dyDescent="0.25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</row>
    <row r="924" spans="1:27" ht="15.75" thickBot="1" x14ac:dyDescent="0.25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</row>
    <row r="925" spans="1:27" ht="15.75" thickBot="1" x14ac:dyDescent="0.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</row>
    <row r="926" spans="1:27" ht="15.75" thickBot="1" x14ac:dyDescent="0.25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</row>
    <row r="927" spans="1:27" ht="15.75" thickBot="1" x14ac:dyDescent="0.25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</row>
    <row r="928" spans="1:27" ht="15.75" thickBot="1" x14ac:dyDescent="0.25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</row>
    <row r="929" spans="1:27" ht="15.75" thickBot="1" x14ac:dyDescent="0.25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</row>
    <row r="930" spans="1:27" ht="15.75" thickBot="1" x14ac:dyDescent="0.25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</row>
    <row r="931" spans="1:27" ht="15.75" thickBot="1" x14ac:dyDescent="0.25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</row>
    <row r="932" spans="1:27" ht="15.75" thickBot="1" x14ac:dyDescent="0.25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</row>
    <row r="933" spans="1:27" ht="15.75" thickBot="1" x14ac:dyDescent="0.25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</row>
    <row r="934" spans="1:27" ht="15.75" thickBot="1" x14ac:dyDescent="0.25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</row>
    <row r="935" spans="1:27" ht="15.75" thickBot="1" x14ac:dyDescent="0.2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</row>
    <row r="936" spans="1:27" ht="15.75" thickBot="1" x14ac:dyDescent="0.25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</row>
    <row r="937" spans="1:27" ht="15.75" thickBot="1" x14ac:dyDescent="0.25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</row>
    <row r="938" spans="1:27" ht="15.75" thickBot="1" x14ac:dyDescent="0.25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</row>
    <row r="939" spans="1:27" ht="15.75" thickBot="1" x14ac:dyDescent="0.25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</row>
    <row r="940" spans="1:27" ht="15.75" thickBot="1" x14ac:dyDescent="0.25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</row>
    <row r="941" spans="1:27" ht="15.75" thickBot="1" x14ac:dyDescent="0.25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</row>
    <row r="942" spans="1:27" ht="15.75" thickBot="1" x14ac:dyDescent="0.25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</row>
    <row r="943" spans="1:27" ht="15.75" thickBot="1" x14ac:dyDescent="0.25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</row>
    <row r="944" spans="1:27" ht="15.75" thickBot="1" x14ac:dyDescent="0.25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</row>
    <row r="945" spans="1:27" ht="15.75" thickBot="1" x14ac:dyDescent="0.2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</row>
    <row r="946" spans="1:27" ht="15.75" thickBot="1" x14ac:dyDescent="0.25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</row>
    <row r="947" spans="1:27" ht="15.75" thickBot="1" x14ac:dyDescent="0.25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</row>
    <row r="948" spans="1:27" ht="15.75" thickBot="1" x14ac:dyDescent="0.25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</row>
    <row r="949" spans="1:27" ht="15.75" thickBot="1" x14ac:dyDescent="0.25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</row>
    <row r="950" spans="1:27" ht="15.75" thickBot="1" x14ac:dyDescent="0.25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</row>
    <row r="951" spans="1:27" ht="15.75" thickBot="1" x14ac:dyDescent="0.25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</row>
    <row r="952" spans="1:27" ht="15.75" thickBot="1" x14ac:dyDescent="0.25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</row>
    <row r="953" spans="1:27" ht="15.75" thickBot="1" x14ac:dyDescent="0.25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</row>
    <row r="954" spans="1:27" ht="15.75" thickBot="1" x14ac:dyDescent="0.25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</row>
    <row r="955" spans="1:27" ht="15.75" thickBot="1" x14ac:dyDescent="0.2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</row>
    <row r="956" spans="1:27" ht="15.75" thickBot="1" x14ac:dyDescent="0.25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</row>
    <row r="957" spans="1:27" ht="15.75" thickBot="1" x14ac:dyDescent="0.25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</row>
    <row r="958" spans="1:27" ht="15.75" thickBot="1" x14ac:dyDescent="0.25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</row>
    <row r="959" spans="1:27" ht="15.75" thickBot="1" x14ac:dyDescent="0.25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</row>
    <row r="960" spans="1:27" ht="15.75" thickBot="1" x14ac:dyDescent="0.25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</row>
    <row r="961" spans="1:27" ht="15.75" thickBot="1" x14ac:dyDescent="0.25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</row>
    <row r="962" spans="1:27" ht="15.75" thickBot="1" x14ac:dyDescent="0.25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</row>
    <row r="963" spans="1:27" ht="15.75" thickBot="1" x14ac:dyDescent="0.25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</row>
    <row r="964" spans="1:27" ht="15.75" thickBot="1" x14ac:dyDescent="0.25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</row>
    <row r="965" spans="1:27" ht="15.75" thickBot="1" x14ac:dyDescent="0.2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</row>
    <row r="966" spans="1:27" ht="15.75" thickBot="1" x14ac:dyDescent="0.2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</row>
    <row r="967" spans="1:27" ht="15.75" thickBot="1" x14ac:dyDescent="0.2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</row>
    <row r="968" spans="1:27" ht="15.75" thickBot="1" x14ac:dyDescent="0.2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</row>
    <row r="969" spans="1:27" ht="15.75" thickBot="1" x14ac:dyDescent="0.2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</row>
    <row r="970" spans="1:27" ht="15.75" thickBot="1" x14ac:dyDescent="0.2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</row>
    <row r="971" spans="1:27" ht="15.75" thickBot="1" x14ac:dyDescent="0.2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</row>
    <row r="972" spans="1:27" ht="15.75" thickBot="1" x14ac:dyDescent="0.2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</row>
    <row r="973" spans="1:27" ht="15.75" thickBot="1" x14ac:dyDescent="0.2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</row>
    <row r="974" spans="1:27" ht="15.75" thickBot="1" x14ac:dyDescent="0.2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</row>
    <row r="975" spans="1:27" ht="15.75" thickBot="1" x14ac:dyDescent="0.2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</row>
    <row r="976" spans="1:27" ht="15.75" thickBot="1" x14ac:dyDescent="0.2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</row>
    <row r="977" spans="1:27" ht="15.75" thickBot="1" x14ac:dyDescent="0.25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</row>
    <row r="978" spans="1:27" ht="15.75" thickBot="1" x14ac:dyDescent="0.25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</row>
    <row r="979" spans="1:27" ht="15.75" thickBot="1" x14ac:dyDescent="0.25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</row>
    <row r="980" spans="1:27" ht="15.75" thickBot="1" x14ac:dyDescent="0.25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</row>
    <row r="981" spans="1:27" ht="15.75" thickBot="1" x14ac:dyDescent="0.25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</row>
    <row r="982" spans="1:27" ht="15.75" thickBot="1" x14ac:dyDescent="0.25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</row>
    <row r="983" spans="1:27" ht="15.75" thickBot="1" x14ac:dyDescent="0.25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</row>
    <row r="984" spans="1:27" ht="15.75" thickBot="1" x14ac:dyDescent="0.25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</row>
    <row r="985" spans="1:27" ht="15.75" thickBot="1" x14ac:dyDescent="0.2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</row>
    <row r="986" spans="1:27" ht="15.75" thickBot="1" x14ac:dyDescent="0.25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</row>
    <row r="987" spans="1:27" ht="15.75" thickBot="1" x14ac:dyDescent="0.25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</row>
    <row r="988" spans="1:27" ht="15.75" thickBot="1" x14ac:dyDescent="0.25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</row>
    <row r="989" spans="1:27" ht="15.75" thickBot="1" x14ac:dyDescent="0.25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</row>
    <row r="990" spans="1:27" ht="15.75" thickBot="1" x14ac:dyDescent="0.25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</row>
    <row r="991" spans="1:27" ht="15.75" thickBot="1" x14ac:dyDescent="0.25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</row>
    <row r="992" spans="1:27" ht="15.75" thickBot="1" x14ac:dyDescent="0.25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</row>
    <row r="993" spans="1:27" ht="15.75" thickBot="1" x14ac:dyDescent="0.25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</row>
    <row r="994" spans="1:27" ht="15.75" thickBot="1" x14ac:dyDescent="0.25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</row>
    <row r="995" spans="1:27" ht="15.75" thickBot="1" x14ac:dyDescent="0.2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</row>
    <row r="996" spans="1:27" ht="15.75" thickBot="1" x14ac:dyDescent="0.25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</row>
    <row r="997" spans="1:27" ht="15.75" thickBot="1" x14ac:dyDescent="0.25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</row>
    <row r="998" spans="1:27" ht="15.75" thickBot="1" x14ac:dyDescent="0.25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</row>
    <row r="999" spans="1:27" ht="15.75" thickBot="1" x14ac:dyDescent="0.25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11CB-76E4-44DA-B81D-9CBF75D9E939}">
  <sheetPr>
    <pageSetUpPr fitToPage="1"/>
  </sheetPr>
  <dimension ref="A1:Z993"/>
  <sheetViews>
    <sheetView tabSelected="1" workbookViewId="0">
      <selection sqref="A1:C74"/>
    </sheetView>
  </sheetViews>
  <sheetFormatPr defaultColWidth="6.58984375" defaultRowHeight="15" x14ac:dyDescent="0.2"/>
  <cols>
    <col min="1" max="1" width="9.68359375" style="97" customWidth="1"/>
    <col min="2" max="2" width="71.69921875" style="100" customWidth="1"/>
    <col min="3" max="3" width="14.2578125" style="97" bestFit="1" customWidth="1"/>
    <col min="4" max="5" width="9.68359375" style="97" customWidth="1"/>
    <col min="6" max="16384" width="6.58984375" style="97"/>
  </cols>
  <sheetData>
    <row r="1" spans="1:26" ht="34.5" customHeight="1" thickBot="1" x14ac:dyDescent="0.35">
      <c r="B1" s="132" t="s">
        <v>970</v>
      </c>
      <c r="C1" s="132" t="s">
        <v>611</v>
      </c>
    </row>
    <row r="2" spans="1:26" ht="15.75" thickBot="1" x14ac:dyDescent="0.25">
      <c r="A2" s="143">
        <v>47</v>
      </c>
      <c r="B2" s="133" t="s">
        <v>532</v>
      </c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5.75" thickBot="1" x14ac:dyDescent="0.25">
      <c r="A3" s="144">
        <v>23</v>
      </c>
      <c r="B3" s="134" t="s">
        <v>854</v>
      </c>
      <c r="C3" s="98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15.75" thickBot="1" x14ac:dyDescent="0.25">
      <c r="A4" s="143">
        <v>45</v>
      </c>
      <c r="B4" s="135" t="s">
        <v>855</v>
      </c>
      <c r="C4" s="94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5.75" thickBot="1" x14ac:dyDescent="0.25">
      <c r="A5" s="144">
        <v>61</v>
      </c>
      <c r="B5" s="136" t="s">
        <v>972</v>
      </c>
      <c r="C5" s="98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5.75" thickBot="1" x14ac:dyDescent="0.25">
      <c r="A6" s="143">
        <v>31</v>
      </c>
      <c r="B6" s="137" t="s">
        <v>27</v>
      </c>
      <c r="C6" s="94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15.75" thickBot="1" x14ac:dyDescent="0.25">
      <c r="A7" s="144">
        <v>27</v>
      </c>
      <c r="B7" s="136" t="s">
        <v>857</v>
      </c>
      <c r="C7" s="98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15.75" thickBot="1" x14ac:dyDescent="0.25">
      <c r="A8" s="143">
        <v>33</v>
      </c>
      <c r="B8" s="133" t="s">
        <v>858</v>
      </c>
      <c r="C8" s="94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15.75" thickBot="1" x14ac:dyDescent="0.25">
      <c r="A9" s="144">
        <v>9</v>
      </c>
      <c r="B9" s="137" t="s">
        <v>330</v>
      </c>
      <c r="C9" s="98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15.75" thickBot="1" x14ac:dyDescent="0.25">
      <c r="A10" s="143">
        <v>28</v>
      </c>
      <c r="B10" s="133" t="s">
        <v>190</v>
      </c>
      <c r="C10" s="94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15.75" thickBot="1" x14ac:dyDescent="0.25">
      <c r="A11" s="144">
        <v>44</v>
      </c>
      <c r="B11" s="136" t="s">
        <v>859</v>
      </c>
      <c r="C11" s="98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15.75" thickBot="1" x14ac:dyDescent="0.25">
      <c r="A12" s="143">
        <v>18</v>
      </c>
      <c r="B12" s="134" t="s">
        <v>860</v>
      </c>
      <c r="C12" s="94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5.75" thickBot="1" x14ac:dyDescent="0.25">
      <c r="A13" s="144">
        <v>70</v>
      </c>
      <c r="B13" s="135" t="s">
        <v>861</v>
      </c>
      <c r="C13" s="98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15.75" thickBot="1" x14ac:dyDescent="0.25">
      <c r="A14" s="144">
        <v>58</v>
      </c>
      <c r="B14" s="136" t="s">
        <v>863</v>
      </c>
      <c r="C14" s="98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15.75" thickBot="1" x14ac:dyDescent="0.25">
      <c r="A15" s="143">
        <v>5</v>
      </c>
      <c r="B15" s="133" t="s">
        <v>864</v>
      </c>
      <c r="C15" s="94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15.75" thickBot="1" x14ac:dyDescent="0.25">
      <c r="A16" s="144">
        <v>49</v>
      </c>
      <c r="B16" s="135" t="s">
        <v>865</v>
      </c>
      <c r="C16" s="98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15.75" thickBot="1" x14ac:dyDescent="0.25">
      <c r="A17" s="143">
        <v>41</v>
      </c>
      <c r="B17" s="133" t="s">
        <v>866</v>
      </c>
      <c r="C17" s="94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15.75" thickBot="1" x14ac:dyDescent="0.25">
      <c r="A18" s="144">
        <v>48</v>
      </c>
      <c r="B18" s="136" t="s">
        <v>558</v>
      </c>
      <c r="C18" s="98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15.75" thickBot="1" x14ac:dyDescent="0.25">
      <c r="A19" s="143">
        <v>6</v>
      </c>
      <c r="B19" s="134" t="s">
        <v>867</v>
      </c>
      <c r="C19" s="94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15.75" thickBot="1" x14ac:dyDescent="0.25">
      <c r="A20" s="144">
        <v>55</v>
      </c>
      <c r="B20" s="136" t="s">
        <v>868</v>
      </c>
      <c r="C20" s="98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thickBot="1" x14ac:dyDescent="0.25">
      <c r="A21" s="143">
        <v>30</v>
      </c>
      <c r="B21" s="133" t="s">
        <v>869</v>
      </c>
      <c r="C21" s="94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thickBot="1" x14ac:dyDescent="0.25">
      <c r="A22" s="144">
        <v>62</v>
      </c>
      <c r="B22" s="136" t="s">
        <v>870</v>
      </c>
      <c r="C22" s="98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thickBot="1" x14ac:dyDescent="0.25">
      <c r="A23" s="143">
        <v>15</v>
      </c>
      <c r="B23" s="137" t="s">
        <v>871</v>
      </c>
      <c r="C23" s="94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thickBot="1" x14ac:dyDescent="0.25">
      <c r="A24" s="144">
        <v>69</v>
      </c>
      <c r="B24" s="136" t="s">
        <v>388</v>
      </c>
      <c r="C24" s="98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thickBot="1" x14ac:dyDescent="0.25">
      <c r="A25" s="143">
        <v>40</v>
      </c>
      <c r="B25" s="133" t="s">
        <v>872</v>
      </c>
      <c r="C25" s="94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thickBot="1" x14ac:dyDescent="0.25">
      <c r="A26" s="144">
        <v>10</v>
      </c>
      <c r="B26" s="136" t="s">
        <v>873</v>
      </c>
      <c r="C26" s="98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thickBot="1" x14ac:dyDescent="0.25">
      <c r="A27" s="143">
        <v>25</v>
      </c>
      <c r="B27" s="137" t="s">
        <v>874</v>
      </c>
      <c r="C27" s="94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thickBot="1" x14ac:dyDescent="0.25">
      <c r="A28" s="143">
        <v>67</v>
      </c>
      <c r="B28" s="133" t="s">
        <v>876</v>
      </c>
      <c r="C28" s="94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thickBot="1" x14ac:dyDescent="0.25">
      <c r="A29" s="144">
        <v>53</v>
      </c>
      <c r="B29" s="136" t="s">
        <v>877</v>
      </c>
      <c r="C29" s="98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thickBot="1" x14ac:dyDescent="0.25">
      <c r="A30" s="143">
        <v>65</v>
      </c>
      <c r="B30" s="135" t="s">
        <v>878</v>
      </c>
      <c r="C30" s="94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thickBot="1" x14ac:dyDescent="0.25">
      <c r="A31" s="144">
        <v>14</v>
      </c>
      <c r="B31" s="136" t="s">
        <v>879</v>
      </c>
      <c r="C31" s="98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thickBot="1" x14ac:dyDescent="0.25">
      <c r="A32" s="143">
        <v>51</v>
      </c>
      <c r="B32" s="133" t="s">
        <v>976</v>
      </c>
      <c r="C32" s="94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thickBot="1" x14ac:dyDescent="0.25">
      <c r="A33" s="144">
        <v>63</v>
      </c>
      <c r="B33" s="135" t="s">
        <v>881</v>
      </c>
      <c r="C33" s="98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thickBot="1" x14ac:dyDescent="0.25">
      <c r="A34" s="133" t="s">
        <v>882</v>
      </c>
      <c r="B34" s="137" t="s">
        <v>883</v>
      </c>
      <c r="C34" s="94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thickBot="1" x14ac:dyDescent="0.25">
      <c r="A35" s="144">
        <v>7</v>
      </c>
      <c r="B35" s="134" t="s">
        <v>504</v>
      </c>
      <c r="C35" s="98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thickBot="1" x14ac:dyDescent="0.25">
      <c r="A36" s="143">
        <v>42</v>
      </c>
      <c r="B36" s="135" t="s">
        <v>884</v>
      </c>
      <c r="C36" s="94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thickBot="1" x14ac:dyDescent="0.25">
      <c r="A37" s="144">
        <v>2</v>
      </c>
      <c r="B37" s="134" t="s">
        <v>885</v>
      </c>
      <c r="C37" s="98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thickBot="1" x14ac:dyDescent="0.25">
      <c r="A38" s="143" t="s">
        <v>969</v>
      </c>
      <c r="B38" s="133" t="s">
        <v>371</v>
      </c>
      <c r="C38" s="94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thickBot="1" x14ac:dyDescent="0.25">
      <c r="A39" s="144">
        <v>1</v>
      </c>
      <c r="B39" s="134" t="s">
        <v>886</v>
      </c>
      <c r="C39" s="98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thickBot="1" x14ac:dyDescent="0.25">
      <c r="A40" s="143">
        <v>37</v>
      </c>
      <c r="B40" s="133" t="s">
        <v>887</v>
      </c>
      <c r="C40" s="94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thickBot="1" x14ac:dyDescent="0.25">
      <c r="A41" s="144">
        <v>52</v>
      </c>
      <c r="B41" s="136" t="s">
        <v>888</v>
      </c>
      <c r="C41" s="98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thickBot="1" x14ac:dyDescent="0.25">
      <c r="A42" s="143">
        <v>36</v>
      </c>
      <c r="B42" s="135" t="s">
        <v>889</v>
      </c>
      <c r="C42" s="94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thickBot="1" x14ac:dyDescent="0.25">
      <c r="A43" s="144">
        <v>60</v>
      </c>
      <c r="B43" s="136" t="s">
        <v>529</v>
      </c>
      <c r="C43" s="98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thickBot="1" x14ac:dyDescent="0.25">
      <c r="A44" s="143">
        <v>26</v>
      </c>
      <c r="B44" s="135" t="s">
        <v>973</v>
      </c>
      <c r="C44" s="94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thickBot="1" x14ac:dyDescent="0.25">
      <c r="A45" s="144">
        <v>59</v>
      </c>
      <c r="B45" s="136" t="s">
        <v>891</v>
      </c>
      <c r="C45" s="98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thickBot="1" x14ac:dyDescent="0.25">
      <c r="A46" s="143">
        <v>34</v>
      </c>
      <c r="B46" s="135" t="s">
        <v>822</v>
      </c>
      <c r="C46" s="94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thickBot="1" x14ac:dyDescent="0.25">
      <c r="A47" s="143">
        <v>61</v>
      </c>
      <c r="B47" s="138" t="s">
        <v>968</v>
      </c>
      <c r="C47" s="94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thickBot="1" x14ac:dyDescent="0.25">
      <c r="A48" s="144">
        <v>54</v>
      </c>
      <c r="B48" s="136" t="s">
        <v>892</v>
      </c>
      <c r="C48" s="98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thickBot="1" x14ac:dyDescent="0.25">
      <c r="A49" s="143">
        <v>64</v>
      </c>
      <c r="B49" s="135" t="s">
        <v>561</v>
      </c>
      <c r="C49" s="94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thickBot="1" x14ac:dyDescent="0.25">
      <c r="A50" s="144">
        <v>38</v>
      </c>
      <c r="B50" s="136" t="s">
        <v>893</v>
      </c>
      <c r="C50" s="98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thickBot="1" x14ac:dyDescent="0.25">
      <c r="A51" s="143">
        <v>66</v>
      </c>
      <c r="B51" s="133" t="s">
        <v>894</v>
      </c>
      <c r="C51" s="94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thickBot="1" x14ac:dyDescent="0.25">
      <c r="A52" s="144">
        <v>68</v>
      </c>
      <c r="B52" s="135" t="s">
        <v>895</v>
      </c>
      <c r="C52" s="98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thickBot="1" x14ac:dyDescent="0.25">
      <c r="A53" s="143">
        <v>17</v>
      </c>
      <c r="B53" s="134" t="s">
        <v>896</v>
      </c>
      <c r="C53" s="94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thickBot="1" x14ac:dyDescent="0.25">
      <c r="A54" s="144">
        <v>46</v>
      </c>
      <c r="B54" s="136" t="s">
        <v>897</v>
      </c>
      <c r="C54" s="98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thickBot="1" x14ac:dyDescent="0.25">
      <c r="A55" s="143">
        <v>13</v>
      </c>
      <c r="B55" s="133" t="s">
        <v>267</v>
      </c>
      <c r="C55" s="94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thickBot="1" x14ac:dyDescent="0.25">
      <c r="A56" s="143">
        <v>29</v>
      </c>
      <c r="B56" s="133" t="s">
        <v>593</v>
      </c>
      <c r="C56" s="94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thickBot="1" x14ac:dyDescent="0.25">
      <c r="A57" s="145" t="s">
        <v>971</v>
      </c>
      <c r="B57" s="135" t="s">
        <v>25</v>
      </c>
      <c r="C57" s="98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thickBot="1" x14ac:dyDescent="0.25">
      <c r="A58" s="143">
        <v>35</v>
      </c>
      <c r="B58" s="135" t="s">
        <v>820</v>
      </c>
      <c r="C58" s="94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thickBot="1" x14ac:dyDescent="0.25">
      <c r="A59" s="144">
        <v>32</v>
      </c>
      <c r="B59" s="134" t="s">
        <v>598</v>
      </c>
      <c r="C59" s="98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thickBot="1" x14ac:dyDescent="0.25">
      <c r="A60" s="143">
        <v>12</v>
      </c>
      <c r="B60" s="133" t="s">
        <v>899</v>
      </c>
      <c r="C60" s="9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thickBot="1" x14ac:dyDescent="0.25">
      <c r="A61" s="144">
        <v>50</v>
      </c>
      <c r="B61" s="136" t="s">
        <v>900</v>
      </c>
      <c r="C61" s="98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thickBot="1" x14ac:dyDescent="0.25">
      <c r="A62" s="143">
        <v>11</v>
      </c>
      <c r="B62" s="133" t="s">
        <v>901</v>
      </c>
      <c r="C62" s="94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thickBot="1" x14ac:dyDescent="0.25">
      <c r="A63" s="146">
        <v>8</v>
      </c>
      <c r="B63" s="135" t="s">
        <v>902</v>
      </c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thickBot="1" x14ac:dyDescent="0.25">
      <c r="A64" s="146">
        <v>39</v>
      </c>
      <c r="B64" s="139" t="s">
        <v>903</v>
      </c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thickBot="1" x14ac:dyDescent="0.25">
      <c r="A65" s="146">
        <v>22</v>
      </c>
      <c r="B65" s="134" t="s">
        <v>904</v>
      </c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thickBot="1" x14ac:dyDescent="0.25">
      <c r="A66" s="139"/>
      <c r="B66" s="139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thickBot="1" x14ac:dyDescent="0.25">
      <c r="A67" s="146">
        <v>24</v>
      </c>
      <c r="B67" s="139" t="s">
        <v>905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thickBot="1" x14ac:dyDescent="0.25">
      <c r="A68" s="146">
        <v>43</v>
      </c>
      <c r="B68" s="139" t="s">
        <v>905</v>
      </c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thickBot="1" x14ac:dyDescent="0.25">
      <c r="A69" s="146">
        <v>56</v>
      </c>
      <c r="B69" s="139" t="s">
        <v>905</v>
      </c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thickBot="1" x14ac:dyDescent="0.25">
      <c r="A70" s="146">
        <v>57</v>
      </c>
      <c r="B70" s="139" t="s">
        <v>905</v>
      </c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thickBot="1" x14ac:dyDescent="0.25">
      <c r="A71" s="96"/>
      <c r="B71" s="99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8.75" thickBot="1" x14ac:dyDescent="0.25">
      <c r="A72" s="96"/>
      <c r="B72" s="140" t="s">
        <v>974</v>
      </c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8.75" thickBot="1" x14ac:dyDescent="0.25">
      <c r="A73" s="96"/>
      <c r="B73" s="141" t="s">
        <v>975</v>
      </c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8.75" thickBot="1" x14ac:dyDescent="0.25">
      <c r="A74" s="96"/>
      <c r="B74" s="142" t="s">
        <v>906</v>
      </c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thickBot="1" x14ac:dyDescent="0.25">
      <c r="A75" s="96"/>
      <c r="B75" s="99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thickBot="1" x14ac:dyDescent="0.25">
      <c r="A76" s="96"/>
      <c r="B76" s="99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thickBot="1" x14ac:dyDescent="0.25">
      <c r="A77" s="96"/>
      <c r="B77" s="99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thickBot="1" x14ac:dyDescent="0.25">
      <c r="A78" s="96"/>
      <c r="B78" s="99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thickBot="1" x14ac:dyDescent="0.25">
      <c r="A79" s="96"/>
      <c r="B79" s="99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thickBot="1" x14ac:dyDescent="0.25">
      <c r="A80" s="96"/>
      <c r="B80" s="99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thickBot="1" x14ac:dyDescent="0.25">
      <c r="A81" s="96"/>
      <c r="B81" s="99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thickBot="1" x14ac:dyDescent="0.25">
      <c r="A82" s="96"/>
      <c r="B82" s="99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thickBot="1" x14ac:dyDescent="0.25">
      <c r="A83" s="96"/>
      <c r="B83" s="99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thickBot="1" x14ac:dyDescent="0.25">
      <c r="A84" s="96"/>
      <c r="B84" s="99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thickBot="1" x14ac:dyDescent="0.25">
      <c r="A85" s="96"/>
      <c r="B85" s="99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thickBot="1" x14ac:dyDescent="0.25">
      <c r="A86" s="96"/>
      <c r="B86" s="99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thickBot="1" x14ac:dyDescent="0.25">
      <c r="A87" s="96"/>
      <c r="B87" s="99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thickBot="1" x14ac:dyDescent="0.25">
      <c r="A88" s="96"/>
      <c r="B88" s="99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thickBot="1" x14ac:dyDescent="0.25">
      <c r="A89" s="96"/>
      <c r="B89" s="99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thickBot="1" x14ac:dyDescent="0.25">
      <c r="A90" s="96"/>
      <c r="B90" s="99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thickBot="1" x14ac:dyDescent="0.25">
      <c r="A91" s="96"/>
      <c r="B91" s="99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thickBot="1" x14ac:dyDescent="0.25">
      <c r="A92" s="96"/>
      <c r="B92" s="99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thickBot="1" x14ac:dyDescent="0.25">
      <c r="A93" s="96"/>
      <c r="B93" s="99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thickBot="1" x14ac:dyDescent="0.25">
      <c r="A94" s="96"/>
      <c r="B94" s="99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thickBot="1" x14ac:dyDescent="0.25">
      <c r="A95" s="96"/>
      <c r="B95" s="99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thickBot="1" x14ac:dyDescent="0.25">
      <c r="A96" s="96"/>
      <c r="B96" s="99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thickBot="1" x14ac:dyDescent="0.25">
      <c r="A97" s="96"/>
      <c r="B97" s="99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thickBot="1" x14ac:dyDescent="0.25">
      <c r="A98" s="96"/>
      <c r="B98" s="99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thickBot="1" x14ac:dyDescent="0.25">
      <c r="A99" s="96"/>
      <c r="B99" s="99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thickBot="1" x14ac:dyDescent="0.25">
      <c r="A100" s="96"/>
      <c r="B100" s="99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thickBot="1" x14ac:dyDescent="0.25">
      <c r="A101" s="96"/>
      <c r="B101" s="99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thickBot="1" x14ac:dyDescent="0.25">
      <c r="A102" s="96"/>
      <c r="B102" s="99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thickBot="1" x14ac:dyDescent="0.25">
      <c r="A103" s="96"/>
      <c r="B103" s="99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thickBot="1" x14ac:dyDescent="0.25">
      <c r="A104" s="96"/>
      <c r="B104" s="99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thickBot="1" x14ac:dyDescent="0.25">
      <c r="A105" s="96"/>
      <c r="B105" s="99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thickBot="1" x14ac:dyDescent="0.25">
      <c r="A106" s="96"/>
      <c r="B106" s="99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thickBot="1" x14ac:dyDescent="0.25">
      <c r="A107" s="96"/>
      <c r="B107" s="99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thickBot="1" x14ac:dyDescent="0.25">
      <c r="A108" s="96"/>
      <c r="B108" s="99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thickBot="1" x14ac:dyDescent="0.25">
      <c r="A109" s="96"/>
      <c r="B109" s="99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thickBot="1" x14ac:dyDescent="0.25">
      <c r="A110" s="96"/>
      <c r="B110" s="99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thickBot="1" x14ac:dyDescent="0.25">
      <c r="A111" s="96"/>
      <c r="B111" s="99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thickBot="1" x14ac:dyDescent="0.25">
      <c r="A112" s="96"/>
      <c r="B112" s="99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thickBot="1" x14ac:dyDescent="0.25">
      <c r="A113" s="96"/>
      <c r="B113" s="99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thickBot="1" x14ac:dyDescent="0.25">
      <c r="A114" s="96"/>
      <c r="B114" s="99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thickBot="1" x14ac:dyDescent="0.25">
      <c r="A115" s="96"/>
      <c r="B115" s="99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thickBot="1" x14ac:dyDescent="0.25">
      <c r="A116" s="96"/>
      <c r="B116" s="99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thickBot="1" x14ac:dyDescent="0.25">
      <c r="A117" s="96"/>
      <c r="B117" s="99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thickBot="1" x14ac:dyDescent="0.25">
      <c r="A118" s="96"/>
      <c r="B118" s="99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thickBot="1" x14ac:dyDescent="0.25">
      <c r="A119" s="96"/>
      <c r="B119" s="99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thickBot="1" x14ac:dyDescent="0.25">
      <c r="A120" s="96"/>
      <c r="B120" s="99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thickBot="1" x14ac:dyDescent="0.25">
      <c r="A121" s="96"/>
      <c r="B121" s="99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thickBot="1" x14ac:dyDescent="0.25">
      <c r="A122" s="96"/>
      <c r="B122" s="99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thickBot="1" x14ac:dyDescent="0.25">
      <c r="A123" s="96"/>
      <c r="B123" s="99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thickBot="1" x14ac:dyDescent="0.25">
      <c r="A124" s="96"/>
      <c r="B124" s="99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thickBot="1" x14ac:dyDescent="0.25">
      <c r="A125" s="96"/>
      <c r="B125" s="99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thickBot="1" x14ac:dyDescent="0.25">
      <c r="A126" s="96"/>
      <c r="B126" s="99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thickBot="1" x14ac:dyDescent="0.25">
      <c r="A127" s="96"/>
      <c r="B127" s="99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thickBot="1" x14ac:dyDescent="0.25">
      <c r="A128" s="96"/>
      <c r="B128" s="99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thickBot="1" x14ac:dyDescent="0.25">
      <c r="A129" s="96"/>
      <c r="B129" s="99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thickBot="1" x14ac:dyDescent="0.25">
      <c r="A130" s="96"/>
      <c r="B130" s="99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thickBot="1" x14ac:dyDescent="0.25">
      <c r="A131" s="96"/>
      <c r="B131" s="99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thickBot="1" x14ac:dyDescent="0.25">
      <c r="A132" s="96"/>
      <c r="B132" s="99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thickBot="1" x14ac:dyDescent="0.25">
      <c r="A133" s="96"/>
      <c r="B133" s="99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thickBot="1" x14ac:dyDescent="0.25">
      <c r="A134" s="96"/>
      <c r="B134" s="99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thickBot="1" x14ac:dyDescent="0.25">
      <c r="A135" s="96"/>
      <c r="B135" s="99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thickBot="1" x14ac:dyDescent="0.25">
      <c r="A136" s="96"/>
      <c r="B136" s="99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thickBot="1" x14ac:dyDescent="0.25">
      <c r="A137" s="96"/>
      <c r="B137" s="99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thickBot="1" x14ac:dyDescent="0.25">
      <c r="A138" s="96"/>
      <c r="B138" s="99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thickBot="1" x14ac:dyDescent="0.25">
      <c r="A139" s="96"/>
      <c r="B139" s="99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thickBot="1" x14ac:dyDescent="0.25">
      <c r="A140" s="96"/>
      <c r="B140" s="99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thickBot="1" x14ac:dyDescent="0.25">
      <c r="A141" s="96"/>
      <c r="B141" s="99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thickBot="1" x14ac:dyDescent="0.25">
      <c r="A142" s="96"/>
      <c r="B142" s="99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thickBot="1" x14ac:dyDescent="0.25">
      <c r="A143" s="96"/>
      <c r="B143" s="99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thickBot="1" x14ac:dyDescent="0.25">
      <c r="A144" s="96"/>
      <c r="B144" s="99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thickBot="1" x14ac:dyDescent="0.25">
      <c r="A145" s="96"/>
      <c r="B145" s="99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thickBot="1" x14ac:dyDescent="0.25">
      <c r="A146" s="96"/>
      <c r="B146" s="99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thickBot="1" x14ac:dyDescent="0.25">
      <c r="A147" s="96"/>
      <c r="B147" s="99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thickBot="1" x14ac:dyDescent="0.25">
      <c r="A148" s="96"/>
      <c r="B148" s="99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thickBot="1" x14ac:dyDescent="0.25">
      <c r="A149" s="96"/>
      <c r="B149" s="99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thickBot="1" x14ac:dyDescent="0.25">
      <c r="A150" s="96"/>
      <c r="B150" s="99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thickBot="1" x14ac:dyDescent="0.25">
      <c r="A151" s="96"/>
      <c r="B151" s="99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thickBot="1" x14ac:dyDescent="0.25">
      <c r="A152" s="96"/>
      <c r="B152" s="99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thickBot="1" x14ac:dyDescent="0.25">
      <c r="A153" s="96"/>
      <c r="B153" s="99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thickBot="1" x14ac:dyDescent="0.25">
      <c r="A154" s="96"/>
      <c r="B154" s="99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thickBot="1" x14ac:dyDescent="0.25">
      <c r="A155" s="96"/>
      <c r="B155" s="99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thickBot="1" x14ac:dyDescent="0.25">
      <c r="A156" s="96"/>
      <c r="B156" s="99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thickBot="1" x14ac:dyDescent="0.25">
      <c r="A157" s="96"/>
      <c r="B157" s="99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thickBot="1" x14ac:dyDescent="0.25">
      <c r="A158" s="96"/>
      <c r="B158" s="99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thickBot="1" x14ac:dyDescent="0.25">
      <c r="A159" s="96"/>
      <c r="B159" s="99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thickBot="1" x14ac:dyDescent="0.25">
      <c r="A160" s="96"/>
      <c r="B160" s="99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thickBot="1" x14ac:dyDescent="0.25">
      <c r="A161" s="96"/>
      <c r="B161" s="99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thickBot="1" x14ac:dyDescent="0.25">
      <c r="A162" s="96"/>
      <c r="B162" s="99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thickBot="1" x14ac:dyDescent="0.25">
      <c r="A163" s="96"/>
      <c r="B163" s="99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thickBot="1" x14ac:dyDescent="0.25">
      <c r="A164" s="96"/>
      <c r="B164" s="99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thickBot="1" x14ac:dyDescent="0.25">
      <c r="A165" s="96"/>
      <c r="B165" s="99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thickBot="1" x14ac:dyDescent="0.25">
      <c r="A166" s="96"/>
      <c r="B166" s="99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thickBot="1" x14ac:dyDescent="0.25">
      <c r="A167" s="96"/>
      <c r="B167" s="99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thickBot="1" x14ac:dyDescent="0.25">
      <c r="A168" s="96"/>
      <c r="B168" s="99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thickBot="1" x14ac:dyDescent="0.25">
      <c r="A169" s="96"/>
      <c r="B169" s="99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thickBot="1" x14ac:dyDescent="0.25">
      <c r="A170" s="96"/>
      <c r="B170" s="99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thickBot="1" x14ac:dyDescent="0.25">
      <c r="A171" s="96"/>
      <c r="B171" s="99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thickBot="1" x14ac:dyDescent="0.25">
      <c r="A172" s="96"/>
      <c r="B172" s="99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thickBot="1" x14ac:dyDescent="0.25">
      <c r="A173" s="96"/>
      <c r="B173" s="99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thickBot="1" x14ac:dyDescent="0.25">
      <c r="A174" s="96"/>
      <c r="B174" s="99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thickBot="1" x14ac:dyDescent="0.25">
      <c r="A175" s="96"/>
      <c r="B175" s="99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thickBot="1" x14ac:dyDescent="0.25">
      <c r="A176" s="96"/>
      <c r="B176" s="99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thickBot="1" x14ac:dyDescent="0.25">
      <c r="A177" s="96"/>
      <c r="B177" s="99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thickBot="1" x14ac:dyDescent="0.25">
      <c r="A178" s="96"/>
      <c r="B178" s="99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thickBot="1" x14ac:dyDescent="0.25">
      <c r="A179" s="96"/>
      <c r="B179" s="99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thickBot="1" x14ac:dyDescent="0.25">
      <c r="A180" s="96"/>
      <c r="B180" s="99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thickBot="1" x14ac:dyDescent="0.25">
      <c r="A181" s="96"/>
      <c r="B181" s="99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thickBot="1" x14ac:dyDescent="0.25">
      <c r="A182" s="96"/>
      <c r="B182" s="99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thickBot="1" x14ac:dyDescent="0.25">
      <c r="A183" s="96"/>
      <c r="B183" s="99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thickBot="1" x14ac:dyDescent="0.25">
      <c r="A184" s="96"/>
      <c r="B184" s="99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thickBot="1" x14ac:dyDescent="0.25">
      <c r="A185" s="96"/>
      <c r="B185" s="99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thickBot="1" x14ac:dyDescent="0.25">
      <c r="A186" s="96"/>
      <c r="B186" s="99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thickBot="1" x14ac:dyDescent="0.25">
      <c r="A187" s="96"/>
      <c r="B187" s="99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thickBot="1" x14ac:dyDescent="0.25">
      <c r="A188" s="96"/>
      <c r="B188" s="99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thickBot="1" x14ac:dyDescent="0.25">
      <c r="A189" s="96"/>
      <c r="B189" s="99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thickBot="1" x14ac:dyDescent="0.25">
      <c r="A190" s="96"/>
      <c r="B190" s="99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thickBot="1" x14ac:dyDescent="0.25">
      <c r="A191" s="96"/>
      <c r="B191" s="99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thickBot="1" x14ac:dyDescent="0.25">
      <c r="A192" s="96"/>
      <c r="B192" s="99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thickBot="1" x14ac:dyDescent="0.25">
      <c r="A193" s="96"/>
      <c r="B193" s="99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thickBot="1" x14ac:dyDescent="0.25">
      <c r="A194" s="96"/>
      <c r="B194" s="99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thickBot="1" x14ac:dyDescent="0.25">
      <c r="A195" s="96"/>
      <c r="B195" s="99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thickBot="1" x14ac:dyDescent="0.25">
      <c r="A196" s="96"/>
      <c r="B196" s="99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thickBot="1" x14ac:dyDescent="0.25">
      <c r="A197" s="96"/>
      <c r="B197" s="99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thickBot="1" x14ac:dyDescent="0.25">
      <c r="A198" s="96"/>
      <c r="B198" s="99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thickBot="1" x14ac:dyDescent="0.25">
      <c r="A199" s="96"/>
      <c r="B199" s="99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thickBot="1" x14ac:dyDescent="0.25">
      <c r="A200" s="96"/>
      <c r="B200" s="99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thickBot="1" x14ac:dyDescent="0.25">
      <c r="A201" s="96"/>
      <c r="B201" s="99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thickBot="1" x14ac:dyDescent="0.25">
      <c r="A202" s="96"/>
      <c r="B202" s="99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thickBot="1" x14ac:dyDescent="0.25">
      <c r="A203" s="96"/>
      <c r="B203" s="99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thickBot="1" x14ac:dyDescent="0.25">
      <c r="A204" s="96"/>
      <c r="B204" s="99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thickBot="1" x14ac:dyDescent="0.25">
      <c r="A205" s="96"/>
      <c r="B205" s="99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thickBot="1" x14ac:dyDescent="0.25">
      <c r="A206" s="96"/>
      <c r="B206" s="99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thickBot="1" x14ac:dyDescent="0.25">
      <c r="A207" s="96"/>
      <c r="B207" s="99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thickBot="1" x14ac:dyDescent="0.25">
      <c r="A208" s="96"/>
      <c r="B208" s="99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thickBot="1" x14ac:dyDescent="0.25">
      <c r="A209" s="96"/>
      <c r="B209" s="99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thickBot="1" x14ac:dyDescent="0.25">
      <c r="A210" s="96"/>
      <c r="B210" s="99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thickBot="1" x14ac:dyDescent="0.25">
      <c r="A211" s="96"/>
      <c r="B211" s="99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thickBot="1" x14ac:dyDescent="0.25">
      <c r="A212" s="96"/>
      <c r="B212" s="99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thickBot="1" x14ac:dyDescent="0.25">
      <c r="A213" s="96"/>
      <c r="B213" s="99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thickBot="1" x14ac:dyDescent="0.25">
      <c r="A214" s="96"/>
      <c r="B214" s="99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thickBot="1" x14ac:dyDescent="0.25">
      <c r="A215" s="96"/>
      <c r="B215" s="99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thickBot="1" x14ac:dyDescent="0.25">
      <c r="A216" s="96"/>
      <c r="B216" s="99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thickBot="1" x14ac:dyDescent="0.25">
      <c r="A217" s="96"/>
      <c r="B217" s="99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thickBot="1" x14ac:dyDescent="0.25">
      <c r="A218" s="96"/>
      <c r="B218" s="99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thickBot="1" x14ac:dyDescent="0.25">
      <c r="A219" s="96"/>
      <c r="B219" s="99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thickBot="1" x14ac:dyDescent="0.25">
      <c r="A220" s="96"/>
      <c r="B220" s="99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thickBot="1" x14ac:dyDescent="0.25">
      <c r="A221" s="96"/>
      <c r="B221" s="99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spans="1:26" ht="15.75" thickBot="1" x14ac:dyDescent="0.25">
      <c r="A222" s="96"/>
      <c r="B222" s="99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spans="1:26" ht="15.75" thickBot="1" x14ac:dyDescent="0.25">
      <c r="A223" s="96"/>
      <c r="B223" s="99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spans="1:26" ht="15.75" thickBot="1" x14ac:dyDescent="0.25">
      <c r="A224" s="96"/>
      <c r="B224" s="99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spans="1:26" ht="15.75" thickBot="1" x14ac:dyDescent="0.25">
      <c r="A225" s="96"/>
      <c r="B225" s="99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spans="1:26" ht="15.75" thickBot="1" x14ac:dyDescent="0.25">
      <c r="A226" s="96"/>
      <c r="B226" s="99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spans="1:26" ht="15.75" thickBot="1" x14ac:dyDescent="0.25">
      <c r="A227" s="96"/>
      <c r="B227" s="99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spans="1:26" ht="15.75" thickBot="1" x14ac:dyDescent="0.25">
      <c r="A228" s="96"/>
      <c r="B228" s="99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spans="1:26" ht="15.75" thickBot="1" x14ac:dyDescent="0.25">
      <c r="A229" s="96"/>
      <c r="B229" s="99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spans="1:26" ht="15.75" thickBot="1" x14ac:dyDescent="0.25">
      <c r="A230" s="96"/>
      <c r="B230" s="99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spans="1:26" ht="15.75" thickBot="1" x14ac:dyDescent="0.25">
      <c r="A231" s="96"/>
      <c r="B231" s="99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spans="1:26" ht="15.75" thickBot="1" x14ac:dyDescent="0.25">
      <c r="A232" s="96"/>
      <c r="B232" s="99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spans="1:26" ht="15.75" thickBot="1" x14ac:dyDescent="0.25">
      <c r="A233" s="96"/>
      <c r="B233" s="99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spans="1:26" ht="15.75" thickBot="1" x14ac:dyDescent="0.25">
      <c r="A234" s="96"/>
      <c r="B234" s="99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6" ht="15.75" thickBot="1" x14ac:dyDescent="0.25">
      <c r="A235" s="96"/>
      <c r="B235" s="99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spans="1:26" ht="15.75" thickBot="1" x14ac:dyDescent="0.25">
      <c r="A236" s="96"/>
      <c r="B236" s="99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spans="1:26" ht="15.75" thickBot="1" x14ac:dyDescent="0.25">
      <c r="A237" s="96"/>
      <c r="B237" s="99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spans="1:26" ht="15.75" thickBot="1" x14ac:dyDescent="0.25">
      <c r="A238" s="96"/>
      <c r="B238" s="99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spans="1:26" ht="15.75" thickBot="1" x14ac:dyDescent="0.25">
      <c r="A239" s="96"/>
      <c r="B239" s="99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spans="1:26" ht="15.75" thickBot="1" x14ac:dyDescent="0.25">
      <c r="A240" s="96"/>
      <c r="B240" s="99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 ht="15.75" thickBot="1" x14ac:dyDescent="0.25">
      <c r="A241" s="96"/>
      <c r="B241" s="99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 ht="15.75" thickBot="1" x14ac:dyDescent="0.25">
      <c r="A242" s="96"/>
      <c r="B242" s="99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 ht="15.75" thickBot="1" x14ac:dyDescent="0.25">
      <c r="A243" s="96"/>
      <c r="B243" s="99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 ht="15.75" thickBot="1" x14ac:dyDescent="0.25">
      <c r="A244" s="96"/>
      <c r="B244" s="99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 ht="15.75" thickBot="1" x14ac:dyDescent="0.25">
      <c r="A245" s="96"/>
      <c r="B245" s="99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 ht="15.75" thickBot="1" x14ac:dyDescent="0.25">
      <c r="A246" s="96"/>
      <c r="B246" s="99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 ht="15.75" thickBot="1" x14ac:dyDescent="0.25">
      <c r="A247" s="96"/>
      <c r="B247" s="99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 ht="15.75" thickBot="1" x14ac:dyDescent="0.25">
      <c r="A248" s="96"/>
      <c r="B248" s="99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 ht="15.75" thickBot="1" x14ac:dyDescent="0.25">
      <c r="A249" s="96"/>
      <c r="B249" s="99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 ht="15.75" thickBot="1" x14ac:dyDescent="0.25">
      <c r="A250" s="96"/>
      <c r="B250" s="99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 ht="15.75" thickBot="1" x14ac:dyDescent="0.25">
      <c r="A251" s="96"/>
      <c r="B251" s="99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 ht="15.75" thickBot="1" x14ac:dyDescent="0.25">
      <c r="A252" s="96"/>
      <c r="B252" s="99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 ht="15.75" thickBot="1" x14ac:dyDescent="0.25">
      <c r="A253" s="96"/>
      <c r="B253" s="99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 ht="15.75" thickBot="1" x14ac:dyDescent="0.25">
      <c r="A254" s="96"/>
      <c r="B254" s="99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 ht="15.75" thickBot="1" x14ac:dyDescent="0.25">
      <c r="A255" s="96"/>
      <c r="B255" s="99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 ht="15.75" thickBot="1" x14ac:dyDescent="0.25">
      <c r="A256" s="96"/>
      <c r="B256" s="99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 ht="15.75" thickBot="1" x14ac:dyDescent="0.25">
      <c r="A257" s="96"/>
      <c r="B257" s="99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 ht="15.75" thickBot="1" x14ac:dyDescent="0.25">
      <c r="A258" s="96"/>
      <c r="B258" s="99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 ht="15.75" thickBot="1" x14ac:dyDescent="0.25">
      <c r="A259" s="96"/>
      <c r="B259" s="99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 ht="15.75" thickBot="1" x14ac:dyDescent="0.25">
      <c r="A260" s="96"/>
      <c r="B260" s="99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 ht="15.75" thickBot="1" x14ac:dyDescent="0.25">
      <c r="A261" s="96"/>
      <c r="B261" s="99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 ht="15.75" thickBot="1" x14ac:dyDescent="0.25">
      <c r="A262" s="96"/>
      <c r="B262" s="99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 ht="15.75" thickBot="1" x14ac:dyDescent="0.25">
      <c r="A263" s="96"/>
      <c r="B263" s="99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 ht="15.75" thickBot="1" x14ac:dyDescent="0.25">
      <c r="A264" s="96"/>
      <c r="B264" s="99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 ht="15.75" thickBot="1" x14ac:dyDescent="0.25">
      <c r="A265" s="96"/>
      <c r="B265" s="99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 ht="15.75" thickBot="1" x14ac:dyDescent="0.25">
      <c r="A266" s="96"/>
      <c r="B266" s="99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 ht="15.75" thickBot="1" x14ac:dyDescent="0.25">
      <c r="A267" s="96"/>
      <c r="B267" s="99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 ht="15.75" thickBot="1" x14ac:dyDescent="0.25">
      <c r="A268" s="96"/>
      <c r="B268" s="99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 ht="15.75" thickBot="1" x14ac:dyDescent="0.25">
      <c r="A269" s="96"/>
      <c r="B269" s="99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 ht="15.75" thickBot="1" x14ac:dyDescent="0.25">
      <c r="A270" s="96"/>
      <c r="B270" s="99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 ht="15.75" thickBot="1" x14ac:dyDescent="0.25">
      <c r="A271" s="96"/>
      <c r="B271" s="99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 ht="15.75" thickBot="1" x14ac:dyDescent="0.25">
      <c r="A272" s="96"/>
      <c r="B272" s="99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 ht="15.75" thickBot="1" x14ac:dyDescent="0.25">
      <c r="A273" s="96"/>
      <c r="B273" s="99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 ht="15.75" thickBot="1" x14ac:dyDescent="0.25">
      <c r="A274" s="96"/>
      <c r="B274" s="99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 ht="15.75" thickBot="1" x14ac:dyDescent="0.25">
      <c r="A275" s="96"/>
      <c r="B275" s="99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 ht="15.75" thickBot="1" x14ac:dyDescent="0.25">
      <c r="A276" s="96"/>
      <c r="B276" s="99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 ht="15.75" thickBot="1" x14ac:dyDescent="0.25">
      <c r="A277" s="96"/>
      <c r="B277" s="99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 ht="15.75" thickBot="1" x14ac:dyDescent="0.25">
      <c r="A278" s="96"/>
      <c r="B278" s="99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 ht="15.75" thickBot="1" x14ac:dyDescent="0.25">
      <c r="A279" s="96"/>
      <c r="B279" s="99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 ht="15.75" thickBot="1" x14ac:dyDescent="0.25">
      <c r="A280" s="96"/>
      <c r="B280" s="99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 ht="15.75" thickBot="1" x14ac:dyDescent="0.25">
      <c r="A281" s="96"/>
      <c r="B281" s="99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 ht="15.75" thickBot="1" x14ac:dyDescent="0.25">
      <c r="A282" s="96"/>
      <c r="B282" s="99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 ht="15.75" thickBot="1" x14ac:dyDescent="0.25">
      <c r="A283" s="96"/>
      <c r="B283" s="99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 ht="15.75" thickBot="1" x14ac:dyDescent="0.25">
      <c r="A284" s="96"/>
      <c r="B284" s="99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 ht="15.75" thickBot="1" x14ac:dyDescent="0.25">
      <c r="A285" s="96"/>
      <c r="B285" s="99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 ht="15.75" thickBot="1" x14ac:dyDescent="0.25">
      <c r="A286" s="96"/>
      <c r="B286" s="99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 ht="15.75" thickBot="1" x14ac:dyDescent="0.25">
      <c r="A287" s="96"/>
      <c r="B287" s="99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 ht="15.75" thickBot="1" x14ac:dyDescent="0.25">
      <c r="A288" s="96"/>
      <c r="B288" s="99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 ht="15.75" thickBot="1" x14ac:dyDescent="0.25">
      <c r="A289" s="96"/>
      <c r="B289" s="99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 ht="15.75" thickBot="1" x14ac:dyDescent="0.25">
      <c r="A290" s="96"/>
      <c r="B290" s="99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 ht="15.75" thickBot="1" x14ac:dyDescent="0.25">
      <c r="A291" s="96"/>
      <c r="B291" s="99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 ht="15.75" thickBot="1" x14ac:dyDescent="0.25">
      <c r="A292" s="96"/>
      <c r="B292" s="99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 ht="15.75" thickBot="1" x14ac:dyDescent="0.25">
      <c r="A293" s="96"/>
      <c r="B293" s="99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 ht="15.75" thickBot="1" x14ac:dyDescent="0.25">
      <c r="A294" s="96"/>
      <c r="B294" s="99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 ht="15.75" thickBot="1" x14ac:dyDescent="0.25">
      <c r="A295" s="96"/>
      <c r="B295" s="99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 ht="15.75" thickBot="1" x14ac:dyDescent="0.25">
      <c r="A296" s="96"/>
      <c r="B296" s="99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 ht="15.75" thickBot="1" x14ac:dyDescent="0.25">
      <c r="A297" s="96"/>
      <c r="B297" s="99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 ht="15.75" thickBot="1" x14ac:dyDescent="0.25">
      <c r="A298" s="96"/>
      <c r="B298" s="99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 ht="15.75" thickBot="1" x14ac:dyDescent="0.25">
      <c r="A299" s="96"/>
      <c r="B299" s="99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 ht="15.75" thickBot="1" x14ac:dyDescent="0.25">
      <c r="A300" s="96"/>
      <c r="B300" s="99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 ht="15.75" thickBot="1" x14ac:dyDescent="0.25">
      <c r="A301" s="96"/>
      <c r="B301" s="99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 ht="15.75" thickBot="1" x14ac:dyDescent="0.25">
      <c r="A302" s="96"/>
      <c r="B302" s="99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 ht="15.75" thickBot="1" x14ac:dyDescent="0.25">
      <c r="A303" s="96"/>
      <c r="B303" s="99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 ht="15.75" thickBot="1" x14ac:dyDescent="0.25">
      <c r="A304" s="96"/>
      <c r="B304" s="99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 ht="15.75" thickBot="1" x14ac:dyDescent="0.25">
      <c r="A305" s="96"/>
      <c r="B305" s="99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 ht="15.75" thickBot="1" x14ac:dyDescent="0.25">
      <c r="A306" s="96"/>
      <c r="B306" s="99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 ht="15.75" thickBot="1" x14ac:dyDescent="0.25">
      <c r="A307" s="96"/>
      <c r="B307" s="99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 ht="15.75" thickBot="1" x14ac:dyDescent="0.25">
      <c r="A308" s="96"/>
      <c r="B308" s="99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 ht="15.75" thickBot="1" x14ac:dyDescent="0.25">
      <c r="A309" s="96"/>
      <c r="B309" s="99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 ht="15.75" thickBot="1" x14ac:dyDescent="0.25">
      <c r="A310" s="96"/>
      <c r="B310" s="99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 ht="15.75" thickBot="1" x14ac:dyDescent="0.25">
      <c r="A311" s="96"/>
      <c r="B311" s="99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 ht="15.75" thickBot="1" x14ac:dyDescent="0.25">
      <c r="A312" s="96"/>
      <c r="B312" s="99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 ht="15.75" thickBot="1" x14ac:dyDescent="0.25">
      <c r="A313" s="96"/>
      <c r="B313" s="99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 ht="15.75" thickBot="1" x14ac:dyDescent="0.25">
      <c r="A314" s="96"/>
      <c r="B314" s="99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 ht="15.75" thickBot="1" x14ac:dyDescent="0.25">
      <c r="A315" s="96"/>
      <c r="B315" s="99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 ht="15.75" thickBot="1" x14ac:dyDescent="0.25">
      <c r="A316" s="96"/>
      <c r="B316" s="99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 ht="15.75" thickBot="1" x14ac:dyDescent="0.25">
      <c r="A317" s="96"/>
      <c r="B317" s="99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 ht="15.75" thickBot="1" x14ac:dyDescent="0.25">
      <c r="A318" s="96"/>
      <c r="B318" s="99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 ht="15.75" thickBot="1" x14ac:dyDescent="0.25">
      <c r="A319" s="96"/>
      <c r="B319" s="99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 ht="15.75" thickBot="1" x14ac:dyDescent="0.25">
      <c r="A320" s="96"/>
      <c r="B320" s="99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 ht="15.75" thickBot="1" x14ac:dyDescent="0.25">
      <c r="A321" s="96"/>
      <c r="B321" s="99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 ht="15.75" thickBot="1" x14ac:dyDescent="0.25">
      <c r="A322" s="96"/>
      <c r="B322" s="99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 ht="15.75" thickBot="1" x14ac:dyDescent="0.25">
      <c r="A323" s="96"/>
      <c r="B323" s="99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 ht="15.75" thickBot="1" x14ac:dyDescent="0.25">
      <c r="A324" s="96"/>
      <c r="B324" s="99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 ht="15.75" thickBot="1" x14ac:dyDescent="0.25">
      <c r="A325" s="96"/>
      <c r="B325" s="99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 ht="15.75" thickBot="1" x14ac:dyDescent="0.25">
      <c r="A326" s="96"/>
      <c r="B326" s="99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 ht="15.75" thickBot="1" x14ac:dyDescent="0.25">
      <c r="A327" s="96"/>
      <c r="B327" s="99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 ht="15.75" thickBot="1" x14ac:dyDescent="0.25">
      <c r="A328" s="96"/>
      <c r="B328" s="99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 ht="15.75" thickBot="1" x14ac:dyDescent="0.25">
      <c r="A329" s="96"/>
      <c r="B329" s="99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 ht="15.75" thickBot="1" x14ac:dyDescent="0.25">
      <c r="A330" s="96"/>
      <c r="B330" s="99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 ht="15.75" thickBot="1" x14ac:dyDescent="0.25">
      <c r="A331" s="96"/>
      <c r="B331" s="99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 ht="15.75" thickBot="1" x14ac:dyDescent="0.25">
      <c r="A332" s="96"/>
      <c r="B332" s="99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 ht="15.75" thickBot="1" x14ac:dyDescent="0.25">
      <c r="A333" s="96"/>
      <c r="B333" s="99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 ht="15.75" thickBot="1" x14ac:dyDescent="0.25">
      <c r="A334" s="96"/>
      <c r="B334" s="99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 ht="15.75" thickBot="1" x14ac:dyDescent="0.25">
      <c r="A335" s="96"/>
      <c r="B335" s="99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 ht="15.75" thickBot="1" x14ac:dyDescent="0.25">
      <c r="A336" s="96"/>
      <c r="B336" s="99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 ht="15.75" thickBot="1" x14ac:dyDescent="0.25">
      <c r="A337" s="96"/>
      <c r="B337" s="99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 ht="15.75" thickBot="1" x14ac:dyDescent="0.25">
      <c r="A338" s="96"/>
      <c r="B338" s="99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 ht="15.75" thickBot="1" x14ac:dyDescent="0.25">
      <c r="A339" s="96"/>
      <c r="B339" s="99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 ht="15.75" thickBot="1" x14ac:dyDescent="0.25">
      <c r="A340" s="96"/>
      <c r="B340" s="99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 ht="15.75" thickBot="1" x14ac:dyDescent="0.25">
      <c r="A341" s="96"/>
      <c r="B341" s="99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 ht="15.75" thickBot="1" x14ac:dyDescent="0.25">
      <c r="A342" s="96"/>
      <c r="B342" s="99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 ht="15.75" thickBot="1" x14ac:dyDescent="0.25">
      <c r="A343" s="96"/>
      <c r="B343" s="99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 ht="15.75" thickBot="1" x14ac:dyDescent="0.25">
      <c r="A344" s="96"/>
      <c r="B344" s="99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 ht="15.75" thickBot="1" x14ac:dyDescent="0.25">
      <c r="A345" s="96"/>
      <c r="B345" s="99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 ht="15.75" thickBot="1" x14ac:dyDescent="0.25">
      <c r="A346" s="96"/>
      <c r="B346" s="99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 ht="15.75" thickBot="1" x14ac:dyDescent="0.25">
      <c r="A347" s="96"/>
      <c r="B347" s="99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 ht="15.75" thickBot="1" x14ac:dyDescent="0.25">
      <c r="A348" s="96"/>
      <c r="B348" s="99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 ht="15.75" thickBot="1" x14ac:dyDescent="0.25">
      <c r="A349" s="96"/>
      <c r="B349" s="99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 ht="15.75" thickBot="1" x14ac:dyDescent="0.25">
      <c r="A350" s="96"/>
      <c r="B350" s="99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 ht="15.75" thickBot="1" x14ac:dyDescent="0.25">
      <c r="A351" s="96"/>
      <c r="B351" s="99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 ht="15.75" thickBot="1" x14ac:dyDescent="0.25">
      <c r="A352" s="96"/>
      <c r="B352" s="99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 ht="15.75" thickBot="1" x14ac:dyDescent="0.25">
      <c r="A353" s="96"/>
      <c r="B353" s="99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 ht="15.75" thickBot="1" x14ac:dyDescent="0.25">
      <c r="A354" s="96"/>
      <c r="B354" s="99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 ht="15.75" thickBot="1" x14ac:dyDescent="0.25">
      <c r="A355" s="96"/>
      <c r="B355" s="99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 ht="15.75" thickBot="1" x14ac:dyDescent="0.25">
      <c r="A356" s="96"/>
      <c r="B356" s="99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 ht="15.75" thickBot="1" x14ac:dyDescent="0.25">
      <c r="A357" s="96"/>
      <c r="B357" s="99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 ht="15.75" thickBot="1" x14ac:dyDescent="0.25">
      <c r="A358" s="96"/>
      <c r="B358" s="99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 ht="15.75" thickBot="1" x14ac:dyDescent="0.25">
      <c r="A359" s="96"/>
      <c r="B359" s="99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 ht="15.75" thickBot="1" x14ac:dyDescent="0.25">
      <c r="A360" s="96"/>
      <c r="B360" s="99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 ht="15.75" thickBot="1" x14ac:dyDescent="0.25">
      <c r="A361" s="96"/>
      <c r="B361" s="99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 ht="15.75" thickBot="1" x14ac:dyDescent="0.25">
      <c r="A362" s="96"/>
      <c r="B362" s="99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 ht="15.75" thickBot="1" x14ac:dyDescent="0.25">
      <c r="A363" s="96"/>
      <c r="B363" s="99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 ht="15.75" thickBot="1" x14ac:dyDescent="0.25">
      <c r="A364" s="96"/>
      <c r="B364" s="99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 ht="15.75" thickBot="1" x14ac:dyDescent="0.25">
      <c r="A365" s="96"/>
      <c r="B365" s="99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 ht="15.75" thickBot="1" x14ac:dyDescent="0.25">
      <c r="A366" s="96"/>
      <c r="B366" s="99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 ht="15.75" thickBot="1" x14ac:dyDescent="0.25">
      <c r="A367" s="96"/>
      <c r="B367" s="99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 ht="15.75" thickBot="1" x14ac:dyDescent="0.25">
      <c r="A368" s="96"/>
      <c r="B368" s="99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 ht="15.75" thickBot="1" x14ac:dyDescent="0.25">
      <c r="A369" s="96"/>
      <c r="B369" s="99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 ht="15.75" thickBot="1" x14ac:dyDescent="0.25">
      <c r="A370" s="96"/>
      <c r="B370" s="99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 ht="15.75" thickBot="1" x14ac:dyDescent="0.25">
      <c r="A371" s="96"/>
      <c r="B371" s="99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 ht="15.75" thickBot="1" x14ac:dyDescent="0.25">
      <c r="A372" s="96"/>
      <c r="B372" s="99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 ht="15.75" thickBot="1" x14ac:dyDescent="0.25">
      <c r="A373" s="96"/>
      <c r="B373" s="99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 ht="15.75" thickBot="1" x14ac:dyDescent="0.25">
      <c r="A374" s="96"/>
      <c r="B374" s="99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 ht="15.75" thickBot="1" x14ac:dyDescent="0.25">
      <c r="A375" s="96"/>
      <c r="B375" s="99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 ht="15.75" thickBot="1" x14ac:dyDescent="0.25">
      <c r="A376" s="96"/>
      <c r="B376" s="99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 ht="15.75" thickBot="1" x14ac:dyDescent="0.25">
      <c r="A377" s="96"/>
      <c r="B377" s="99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 ht="15.75" thickBot="1" x14ac:dyDescent="0.25">
      <c r="A378" s="96"/>
      <c r="B378" s="99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 ht="15.75" thickBot="1" x14ac:dyDescent="0.25">
      <c r="A379" s="96"/>
      <c r="B379" s="99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 ht="15.75" thickBot="1" x14ac:dyDescent="0.25">
      <c r="A380" s="96"/>
      <c r="B380" s="99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 ht="15.75" thickBot="1" x14ac:dyDescent="0.25">
      <c r="A381" s="96"/>
      <c r="B381" s="99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 ht="15.75" thickBot="1" x14ac:dyDescent="0.25">
      <c r="A382" s="96"/>
      <c r="B382" s="99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 ht="15.75" thickBot="1" x14ac:dyDescent="0.25">
      <c r="A383" s="96"/>
      <c r="B383" s="99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 ht="15.75" thickBot="1" x14ac:dyDescent="0.25">
      <c r="A384" s="96"/>
      <c r="B384" s="99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 ht="15.75" thickBot="1" x14ac:dyDescent="0.25">
      <c r="A385" s="96"/>
      <c r="B385" s="99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 ht="15.75" thickBot="1" x14ac:dyDescent="0.25">
      <c r="A386" s="96"/>
      <c r="B386" s="99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 ht="15.75" thickBot="1" x14ac:dyDescent="0.25">
      <c r="A387" s="96"/>
      <c r="B387" s="99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 ht="15.75" thickBot="1" x14ac:dyDescent="0.25">
      <c r="A388" s="96"/>
      <c r="B388" s="99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 ht="15.75" thickBot="1" x14ac:dyDescent="0.25">
      <c r="A389" s="96"/>
      <c r="B389" s="99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 ht="15.75" thickBot="1" x14ac:dyDescent="0.25">
      <c r="A390" s="96"/>
      <c r="B390" s="99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 ht="15.75" thickBot="1" x14ac:dyDescent="0.25">
      <c r="A391" s="96"/>
      <c r="B391" s="99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 ht="15.75" thickBot="1" x14ac:dyDescent="0.25">
      <c r="A392" s="96"/>
      <c r="B392" s="99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 ht="15.75" thickBot="1" x14ac:dyDescent="0.25">
      <c r="A393" s="96"/>
      <c r="B393" s="99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 ht="15.75" thickBot="1" x14ac:dyDescent="0.25">
      <c r="A394" s="96"/>
      <c r="B394" s="99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 ht="15.75" thickBot="1" x14ac:dyDescent="0.25">
      <c r="A395" s="96"/>
      <c r="B395" s="99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 ht="15.75" thickBot="1" x14ac:dyDescent="0.25">
      <c r="A396" s="96"/>
      <c r="B396" s="99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 ht="15.75" thickBot="1" x14ac:dyDescent="0.25">
      <c r="A397" s="96"/>
      <c r="B397" s="99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 ht="15.75" thickBot="1" x14ac:dyDescent="0.25">
      <c r="A398" s="96"/>
      <c r="B398" s="99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 ht="15.75" thickBot="1" x14ac:dyDescent="0.25">
      <c r="A399" s="96"/>
      <c r="B399" s="99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 ht="15.75" thickBot="1" x14ac:dyDescent="0.25">
      <c r="A400" s="96"/>
      <c r="B400" s="99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 ht="15.75" thickBot="1" x14ac:dyDescent="0.25">
      <c r="A401" s="96"/>
      <c r="B401" s="99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 ht="15.75" thickBot="1" x14ac:dyDescent="0.25">
      <c r="A402" s="96"/>
      <c r="B402" s="99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 ht="15.75" thickBot="1" x14ac:dyDescent="0.25">
      <c r="A403" s="96"/>
      <c r="B403" s="99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 ht="15.75" thickBot="1" x14ac:dyDescent="0.25">
      <c r="A404" s="96"/>
      <c r="B404" s="99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 ht="15.75" thickBot="1" x14ac:dyDescent="0.25">
      <c r="A405" s="96"/>
      <c r="B405" s="99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 ht="15.75" thickBot="1" x14ac:dyDescent="0.25">
      <c r="A406" s="96"/>
      <c r="B406" s="99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 ht="15.75" thickBot="1" x14ac:dyDescent="0.25">
      <c r="A407" s="96"/>
      <c r="B407" s="99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 ht="15.75" thickBot="1" x14ac:dyDescent="0.25">
      <c r="A408" s="96"/>
      <c r="B408" s="99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 ht="15.75" thickBot="1" x14ac:dyDescent="0.25">
      <c r="A409" s="96"/>
      <c r="B409" s="99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 ht="15.75" thickBot="1" x14ac:dyDescent="0.25">
      <c r="A410" s="96"/>
      <c r="B410" s="99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 ht="15.75" thickBot="1" x14ac:dyDescent="0.25">
      <c r="A411" s="96"/>
      <c r="B411" s="99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 ht="15.75" thickBot="1" x14ac:dyDescent="0.25">
      <c r="A412" s="96"/>
      <c r="B412" s="99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 ht="15.75" thickBot="1" x14ac:dyDescent="0.25">
      <c r="A413" s="96"/>
      <c r="B413" s="99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 ht="15.75" thickBot="1" x14ac:dyDescent="0.25">
      <c r="A414" s="96"/>
      <c r="B414" s="99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 ht="15.75" thickBot="1" x14ac:dyDescent="0.25">
      <c r="A415" s="96"/>
      <c r="B415" s="99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 ht="15.75" thickBot="1" x14ac:dyDescent="0.25">
      <c r="A416" s="96"/>
      <c r="B416" s="99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 ht="15.75" thickBot="1" x14ac:dyDescent="0.25">
      <c r="A417" s="96"/>
      <c r="B417" s="99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 ht="15.75" thickBot="1" x14ac:dyDescent="0.25">
      <c r="A418" s="96"/>
      <c r="B418" s="99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 ht="15.75" thickBot="1" x14ac:dyDescent="0.25">
      <c r="A419" s="96"/>
      <c r="B419" s="99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 ht="15.75" thickBot="1" x14ac:dyDescent="0.25">
      <c r="A420" s="96"/>
      <c r="B420" s="99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 ht="15.75" thickBot="1" x14ac:dyDescent="0.25">
      <c r="A421" s="96"/>
      <c r="B421" s="99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 ht="15.75" thickBot="1" x14ac:dyDescent="0.25">
      <c r="A422" s="96"/>
      <c r="B422" s="99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 ht="15.75" thickBot="1" x14ac:dyDescent="0.25">
      <c r="A423" s="96"/>
      <c r="B423" s="99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 ht="15.75" thickBot="1" x14ac:dyDescent="0.25">
      <c r="A424" s="96"/>
      <c r="B424" s="99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 ht="15.75" thickBot="1" x14ac:dyDescent="0.25">
      <c r="A425" s="96"/>
      <c r="B425" s="99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 ht="15.75" thickBot="1" x14ac:dyDescent="0.25">
      <c r="A426" s="96"/>
      <c r="B426" s="99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 ht="15.75" thickBot="1" x14ac:dyDescent="0.25">
      <c r="A427" s="96"/>
      <c r="B427" s="99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 ht="15.75" thickBot="1" x14ac:dyDescent="0.25">
      <c r="A428" s="96"/>
      <c r="B428" s="99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 ht="15.75" thickBot="1" x14ac:dyDescent="0.25">
      <c r="A429" s="96"/>
      <c r="B429" s="99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 ht="15.75" thickBot="1" x14ac:dyDescent="0.25">
      <c r="A430" s="96"/>
      <c r="B430" s="99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 ht="15.75" thickBot="1" x14ac:dyDescent="0.25">
      <c r="A431" s="96"/>
      <c r="B431" s="99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 ht="15.75" thickBot="1" x14ac:dyDescent="0.25">
      <c r="A432" s="96"/>
      <c r="B432" s="99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 ht="15.75" thickBot="1" x14ac:dyDescent="0.25">
      <c r="A433" s="96"/>
      <c r="B433" s="99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 ht="15.75" thickBot="1" x14ac:dyDescent="0.25">
      <c r="A434" s="96"/>
      <c r="B434" s="99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 ht="15.75" thickBot="1" x14ac:dyDescent="0.25">
      <c r="A435" s="96"/>
      <c r="B435" s="99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 ht="15.75" thickBot="1" x14ac:dyDescent="0.25">
      <c r="A436" s="96"/>
      <c r="B436" s="99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 ht="15.75" thickBot="1" x14ac:dyDescent="0.25">
      <c r="A437" s="96"/>
      <c r="B437" s="99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 ht="15.75" thickBot="1" x14ac:dyDescent="0.25">
      <c r="A438" s="96"/>
      <c r="B438" s="99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 ht="15.75" thickBot="1" x14ac:dyDescent="0.25">
      <c r="A439" s="96"/>
      <c r="B439" s="99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 ht="15.75" thickBot="1" x14ac:dyDescent="0.25">
      <c r="A440" s="96"/>
      <c r="B440" s="99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 ht="15.75" thickBot="1" x14ac:dyDescent="0.25">
      <c r="A441" s="96"/>
      <c r="B441" s="99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 ht="15.75" thickBot="1" x14ac:dyDescent="0.25">
      <c r="A442" s="96"/>
      <c r="B442" s="99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 ht="15.75" thickBot="1" x14ac:dyDescent="0.25">
      <c r="A443" s="96"/>
      <c r="B443" s="99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 ht="15.75" thickBot="1" x14ac:dyDescent="0.25">
      <c r="A444" s="96"/>
      <c r="B444" s="99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 ht="15.75" thickBot="1" x14ac:dyDescent="0.25">
      <c r="A445" s="96"/>
      <c r="B445" s="99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 ht="15.75" thickBot="1" x14ac:dyDescent="0.25">
      <c r="A446" s="96"/>
      <c r="B446" s="99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 ht="15.75" thickBot="1" x14ac:dyDescent="0.25">
      <c r="A447" s="96"/>
      <c r="B447" s="99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 ht="15.75" thickBot="1" x14ac:dyDescent="0.25">
      <c r="A448" s="96"/>
      <c r="B448" s="99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 ht="15.75" thickBot="1" x14ac:dyDescent="0.25">
      <c r="A449" s="96"/>
      <c r="B449" s="99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 ht="15.75" thickBot="1" x14ac:dyDescent="0.25">
      <c r="A450" s="96"/>
      <c r="B450" s="99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 ht="15.75" thickBot="1" x14ac:dyDescent="0.25">
      <c r="A451" s="96"/>
      <c r="B451" s="99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 ht="15.75" thickBot="1" x14ac:dyDescent="0.25">
      <c r="A452" s="96"/>
      <c r="B452" s="99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 ht="15.75" thickBot="1" x14ac:dyDescent="0.25">
      <c r="A453" s="96"/>
      <c r="B453" s="99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 ht="15.75" thickBot="1" x14ac:dyDescent="0.25">
      <c r="A454" s="96"/>
      <c r="B454" s="99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 ht="15.75" thickBot="1" x14ac:dyDescent="0.25">
      <c r="A455" s="96"/>
      <c r="B455" s="99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 ht="15.75" thickBot="1" x14ac:dyDescent="0.25">
      <c r="A456" s="96"/>
      <c r="B456" s="99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 ht="15.75" thickBot="1" x14ac:dyDescent="0.25">
      <c r="A457" s="96"/>
      <c r="B457" s="99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 ht="15.75" thickBot="1" x14ac:dyDescent="0.25">
      <c r="A458" s="96"/>
      <c r="B458" s="99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 ht="15.75" thickBot="1" x14ac:dyDescent="0.25">
      <c r="A459" s="96"/>
      <c r="B459" s="99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 ht="15.75" thickBot="1" x14ac:dyDescent="0.25">
      <c r="A460" s="96"/>
      <c r="B460" s="99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 ht="15.75" thickBot="1" x14ac:dyDescent="0.25">
      <c r="A461" s="96"/>
      <c r="B461" s="99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 ht="15.75" thickBot="1" x14ac:dyDescent="0.25">
      <c r="A462" s="96"/>
      <c r="B462" s="99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 ht="15.75" thickBot="1" x14ac:dyDescent="0.25">
      <c r="A463" s="96"/>
      <c r="B463" s="99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 ht="15.75" thickBot="1" x14ac:dyDescent="0.25">
      <c r="A464" s="96"/>
      <c r="B464" s="99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 ht="15.75" thickBot="1" x14ac:dyDescent="0.25">
      <c r="A465" s="96"/>
      <c r="B465" s="99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 ht="15.75" thickBot="1" x14ac:dyDescent="0.25">
      <c r="A466" s="96"/>
      <c r="B466" s="99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 ht="15.75" thickBot="1" x14ac:dyDescent="0.25">
      <c r="A467" s="96"/>
      <c r="B467" s="99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 ht="15.75" thickBot="1" x14ac:dyDescent="0.25">
      <c r="A468" s="96"/>
      <c r="B468" s="99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 ht="15.75" thickBot="1" x14ac:dyDescent="0.25">
      <c r="A469" s="96"/>
      <c r="B469" s="99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 ht="15.75" thickBot="1" x14ac:dyDescent="0.25">
      <c r="A470" s="96"/>
      <c r="B470" s="99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 ht="15.75" thickBot="1" x14ac:dyDescent="0.25">
      <c r="A471" s="96"/>
      <c r="B471" s="99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 ht="15.75" thickBot="1" x14ac:dyDescent="0.25">
      <c r="A472" s="96"/>
      <c r="B472" s="99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 ht="15.75" thickBot="1" x14ac:dyDescent="0.25">
      <c r="A473" s="96"/>
      <c r="B473" s="99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 ht="15.75" thickBot="1" x14ac:dyDescent="0.25">
      <c r="A474" s="96"/>
      <c r="B474" s="99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 ht="15.75" thickBot="1" x14ac:dyDescent="0.25">
      <c r="A475" s="96"/>
      <c r="B475" s="99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 ht="15.75" thickBot="1" x14ac:dyDescent="0.25">
      <c r="A476" s="96"/>
      <c r="B476" s="99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 ht="15.75" thickBot="1" x14ac:dyDescent="0.25">
      <c r="A477" s="96"/>
      <c r="B477" s="99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 ht="15.75" thickBot="1" x14ac:dyDescent="0.25">
      <c r="A478" s="96"/>
      <c r="B478" s="99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 ht="15.75" thickBot="1" x14ac:dyDescent="0.25">
      <c r="A479" s="96"/>
      <c r="B479" s="99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 ht="15.75" thickBot="1" x14ac:dyDescent="0.25">
      <c r="A480" s="96"/>
      <c r="B480" s="99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 ht="15.75" thickBot="1" x14ac:dyDescent="0.25">
      <c r="A481" s="96"/>
      <c r="B481" s="99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 ht="15.75" thickBot="1" x14ac:dyDescent="0.25">
      <c r="A482" s="96"/>
      <c r="B482" s="99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 ht="15.75" thickBot="1" x14ac:dyDescent="0.25">
      <c r="A483" s="96"/>
      <c r="B483" s="99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 ht="15.75" thickBot="1" x14ac:dyDescent="0.25">
      <c r="A484" s="96"/>
      <c r="B484" s="99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 ht="15.75" thickBot="1" x14ac:dyDescent="0.25">
      <c r="A485" s="96"/>
      <c r="B485" s="99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 ht="15.75" thickBot="1" x14ac:dyDescent="0.25">
      <c r="A486" s="96"/>
      <c r="B486" s="99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 ht="15.75" thickBot="1" x14ac:dyDescent="0.25">
      <c r="A487" s="96"/>
      <c r="B487" s="99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 ht="15.75" thickBot="1" x14ac:dyDescent="0.25">
      <c r="A488" s="96"/>
      <c r="B488" s="99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 ht="15.75" thickBot="1" x14ac:dyDescent="0.25">
      <c r="A489" s="96"/>
      <c r="B489" s="99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 ht="15.75" thickBot="1" x14ac:dyDescent="0.25">
      <c r="A490" s="96"/>
      <c r="B490" s="99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 ht="15.75" thickBot="1" x14ac:dyDescent="0.25">
      <c r="A491" s="96"/>
      <c r="B491" s="99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 ht="15.75" thickBot="1" x14ac:dyDescent="0.25">
      <c r="A492" s="96"/>
      <c r="B492" s="99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 ht="15.75" thickBot="1" x14ac:dyDescent="0.25">
      <c r="A493" s="96"/>
      <c r="B493" s="99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 ht="15.75" thickBot="1" x14ac:dyDescent="0.25">
      <c r="A494" s="96"/>
      <c r="B494" s="99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 ht="15.75" thickBot="1" x14ac:dyDescent="0.25">
      <c r="A495" s="96"/>
      <c r="B495" s="99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 ht="15.75" thickBot="1" x14ac:dyDescent="0.25">
      <c r="A496" s="96"/>
      <c r="B496" s="99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 ht="15.75" thickBot="1" x14ac:dyDescent="0.25">
      <c r="A497" s="96"/>
      <c r="B497" s="99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 ht="15.75" thickBot="1" x14ac:dyDescent="0.25">
      <c r="A498" s="96"/>
      <c r="B498" s="99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 ht="15.75" thickBot="1" x14ac:dyDescent="0.25">
      <c r="A499" s="96"/>
      <c r="B499" s="99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 ht="15.75" thickBot="1" x14ac:dyDescent="0.25">
      <c r="A500" s="96"/>
      <c r="B500" s="99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 ht="15.75" thickBot="1" x14ac:dyDescent="0.25">
      <c r="A501" s="96"/>
      <c r="B501" s="99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 ht="15.75" thickBot="1" x14ac:dyDescent="0.25">
      <c r="A502" s="96"/>
      <c r="B502" s="99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 ht="15.75" thickBot="1" x14ac:dyDescent="0.25">
      <c r="A503" s="96"/>
      <c r="B503" s="99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 ht="15.75" thickBot="1" x14ac:dyDescent="0.25">
      <c r="A504" s="96"/>
      <c r="B504" s="99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 ht="15.75" thickBot="1" x14ac:dyDescent="0.25">
      <c r="A505" s="96"/>
      <c r="B505" s="99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 ht="15.75" thickBot="1" x14ac:dyDescent="0.25">
      <c r="A506" s="96"/>
      <c r="B506" s="99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 ht="15.75" thickBot="1" x14ac:dyDescent="0.25">
      <c r="A507" s="96"/>
      <c r="B507" s="99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 ht="15.75" thickBot="1" x14ac:dyDescent="0.25">
      <c r="A508" s="96"/>
      <c r="B508" s="99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 ht="15.75" thickBot="1" x14ac:dyDescent="0.25">
      <c r="A509" s="96"/>
      <c r="B509" s="99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 ht="15.75" thickBot="1" x14ac:dyDescent="0.25">
      <c r="A510" s="96"/>
      <c r="B510" s="99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 ht="15.75" thickBot="1" x14ac:dyDescent="0.25">
      <c r="A511" s="96"/>
      <c r="B511" s="99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 ht="15.75" thickBot="1" x14ac:dyDescent="0.25">
      <c r="A512" s="96"/>
      <c r="B512" s="99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 ht="15.75" thickBot="1" x14ac:dyDescent="0.25">
      <c r="A513" s="96"/>
      <c r="B513" s="99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 ht="15.75" thickBot="1" x14ac:dyDescent="0.25">
      <c r="A514" s="96"/>
      <c r="B514" s="99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 ht="15.75" thickBot="1" x14ac:dyDescent="0.25">
      <c r="A515" s="96"/>
      <c r="B515" s="99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 ht="15.75" thickBot="1" x14ac:dyDescent="0.25">
      <c r="A516" s="96"/>
      <c r="B516" s="99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 ht="15.75" thickBot="1" x14ac:dyDescent="0.25">
      <c r="A517" s="96"/>
      <c r="B517" s="99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 ht="15.75" thickBot="1" x14ac:dyDescent="0.25">
      <c r="A518" s="96"/>
      <c r="B518" s="99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 ht="15.75" thickBot="1" x14ac:dyDescent="0.25">
      <c r="A519" s="96"/>
      <c r="B519" s="99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 ht="15.75" thickBot="1" x14ac:dyDescent="0.25">
      <c r="A520" s="96"/>
      <c r="B520" s="99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 ht="15.75" thickBot="1" x14ac:dyDescent="0.25">
      <c r="A521" s="96"/>
      <c r="B521" s="99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 ht="15.75" thickBot="1" x14ac:dyDescent="0.25">
      <c r="A522" s="96"/>
      <c r="B522" s="99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 ht="15.75" thickBot="1" x14ac:dyDescent="0.25">
      <c r="A523" s="96"/>
      <c r="B523" s="99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 ht="15.75" thickBot="1" x14ac:dyDescent="0.25">
      <c r="A524" s="96"/>
      <c r="B524" s="99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 ht="15.75" thickBot="1" x14ac:dyDescent="0.25">
      <c r="A525" s="96"/>
      <c r="B525" s="99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 ht="15.75" thickBot="1" x14ac:dyDescent="0.25">
      <c r="A526" s="96"/>
      <c r="B526" s="99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 ht="15.75" thickBot="1" x14ac:dyDescent="0.25">
      <c r="A527" s="96"/>
      <c r="B527" s="99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 ht="15.75" thickBot="1" x14ac:dyDescent="0.25">
      <c r="A528" s="96"/>
      <c r="B528" s="99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 ht="15.75" thickBot="1" x14ac:dyDescent="0.25">
      <c r="A529" s="96"/>
      <c r="B529" s="99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 ht="15.75" thickBot="1" x14ac:dyDescent="0.25">
      <c r="A530" s="96"/>
      <c r="B530" s="99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 ht="15.75" thickBot="1" x14ac:dyDescent="0.25">
      <c r="A531" s="96"/>
      <c r="B531" s="99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 ht="15.75" thickBot="1" x14ac:dyDescent="0.25">
      <c r="A532" s="96"/>
      <c r="B532" s="99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 ht="15.75" thickBot="1" x14ac:dyDescent="0.25">
      <c r="A533" s="96"/>
      <c r="B533" s="99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 ht="15.75" thickBot="1" x14ac:dyDescent="0.25">
      <c r="A534" s="96"/>
      <c r="B534" s="99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 ht="15.75" thickBot="1" x14ac:dyDescent="0.25">
      <c r="A535" s="96"/>
      <c r="B535" s="99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 ht="15.75" thickBot="1" x14ac:dyDescent="0.25">
      <c r="A536" s="96"/>
      <c r="B536" s="99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 ht="15.75" thickBot="1" x14ac:dyDescent="0.25">
      <c r="A537" s="96"/>
      <c r="B537" s="99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 ht="15.75" thickBot="1" x14ac:dyDescent="0.25">
      <c r="A538" s="96"/>
      <c r="B538" s="99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 ht="15.75" thickBot="1" x14ac:dyDescent="0.25">
      <c r="A539" s="96"/>
      <c r="B539" s="99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 ht="15.75" thickBot="1" x14ac:dyDescent="0.25">
      <c r="A540" s="96"/>
      <c r="B540" s="99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 ht="15.75" thickBot="1" x14ac:dyDescent="0.25">
      <c r="A541" s="96"/>
      <c r="B541" s="99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 ht="15.75" thickBot="1" x14ac:dyDescent="0.25">
      <c r="A542" s="96"/>
      <c r="B542" s="99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 ht="15.75" thickBot="1" x14ac:dyDescent="0.25">
      <c r="A543" s="96"/>
      <c r="B543" s="99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 ht="15.75" thickBot="1" x14ac:dyDescent="0.25">
      <c r="A544" s="96"/>
      <c r="B544" s="99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 ht="15.75" thickBot="1" x14ac:dyDescent="0.25">
      <c r="A545" s="96"/>
      <c r="B545" s="99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 ht="15.75" thickBot="1" x14ac:dyDescent="0.25">
      <c r="A546" s="96"/>
      <c r="B546" s="99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 ht="15.75" thickBot="1" x14ac:dyDescent="0.25">
      <c r="A547" s="96"/>
      <c r="B547" s="99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 ht="15.75" thickBot="1" x14ac:dyDescent="0.25">
      <c r="A548" s="96"/>
      <c r="B548" s="99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 ht="15.75" thickBot="1" x14ac:dyDescent="0.25">
      <c r="A549" s="96"/>
      <c r="B549" s="99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 ht="15.75" thickBot="1" x14ac:dyDescent="0.25">
      <c r="A550" s="96"/>
      <c r="B550" s="99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 ht="15.75" thickBot="1" x14ac:dyDescent="0.25">
      <c r="A551" s="96"/>
      <c r="B551" s="99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 ht="15.75" thickBot="1" x14ac:dyDescent="0.25">
      <c r="A552" s="96"/>
      <c r="B552" s="99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 ht="15.75" thickBot="1" x14ac:dyDescent="0.25">
      <c r="A553" s="96"/>
      <c r="B553" s="99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 ht="15.75" thickBot="1" x14ac:dyDescent="0.25">
      <c r="A554" s="96"/>
      <c r="B554" s="99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 ht="15.75" thickBot="1" x14ac:dyDescent="0.25">
      <c r="A555" s="96"/>
      <c r="B555" s="99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 ht="15.75" thickBot="1" x14ac:dyDescent="0.25">
      <c r="A556" s="96"/>
      <c r="B556" s="99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 ht="15.75" thickBot="1" x14ac:dyDescent="0.25">
      <c r="A557" s="96"/>
      <c r="B557" s="99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 ht="15.75" thickBot="1" x14ac:dyDescent="0.25">
      <c r="A558" s="96"/>
      <c r="B558" s="99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 ht="15.75" thickBot="1" x14ac:dyDescent="0.25">
      <c r="A559" s="96"/>
      <c r="B559" s="99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 ht="15.75" thickBot="1" x14ac:dyDescent="0.25">
      <c r="A560" s="96"/>
      <c r="B560" s="99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 ht="15.75" thickBot="1" x14ac:dyDescent="0.25">
      <c r="A561" s="96"/>
      <c r="B561" s="99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 ht="15.75" thickBot="1" x14ac:dyDescent="0.25">
      <c r="A562" s="96"/>
      <c r="B562" s="99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 ht="15.75" thickBot="1" x14ac:dyDescent="0.25">
      <c r="A563" s="96"/>
      <c r="B563" s="99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 ht="15.75" thickBot="1" x14ac:dyDescent="0.25">
      <c r="A564" s="96"/>
      <c r="B564" s="99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 ht="15.75" thickBot="1" x14ac:dyDescent="0.25">
      <c r="A565" s="96"/>
      <c r="B565" s="99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 ht="15.75" thickBot="1" x14ac:dyDescent="0.25">
      <c r="A566" s="96"/>
      <c r="B566" s="99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 ht="15.75" thickBot="1" x14ac:dyDescent="0.25">
      <c r="A567" s="96"/>
      <c r="B567" s="99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 ht="15.75" thickBot="1" x14ac:dyDescent="0.25">
      <c r="A568" s="96"/>
      <c r="B568" s="99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 ht="15.75" thickBot="1" x14ac:dyDescent="0.25">
      <c r="A569" s="96"/>
      <c r="B569" s="99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 ht="15.75" thickBot="1" x14ac:dyDescent="0.25">
      <c r="A570" s="96"/>
      <c r="B570" s="99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 ht="15.75" thickBot="1" x14ac:dyDescent="0.25">
      <c r="A571" s="96"/>
      <c r="B571" s="99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 ht="15.75" thickBot="1" x14ac:dyDescent="0.25">
      <c r="A572" s="96"/>
      <c r="B572" s="99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 ht="15.75" thickBot="1" x14ac:dyDescent="0.25">
      <c r="A573" s="96"/>
      <c r="B573" s="99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 ht="15.75" thickBot="1" x14ac:dyDescent="0.25">
      <c r="A574" s="96"/>
      <c r="B574" s="99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 ht="15.75" thickBot="1" x14ac:dyDescent="0.25">
      <c r="A575" s="96"/>
      <c r="B575" s="99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 ht="15.75" thickBot="1" x14ac:dyDescent="0.25">
      <c r="A576" s="96"/>
      <c r="B576" s="99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 ht="15.75" thickBot="1" x14ac:dyDescent="0.25">
      <c r="A577" s="96"/>
      <c r="B577" s="99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 ht="15.75" thickBot="1" x14ac:dyDescent="0.25">
      <c r="A578" s="96"/>
      <c r="B578" s="99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 ht="15.75" thickBot="1" x14ac:dyDescent="0.25">
      <c r="A579" s="96"/>
      <c r="B579" s="99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 ht="15.75" thickBot="1" x14ac:dyDescent="0.25">
      <c r="A580" s="96"/>
      <c r="B580" s="99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 ht="15.75" thickBot="1" x14ac:dyDescent="0.25">
      <c r="A581" s="96"/>
      <c r="B581" s="99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 ht="15.75" thickBot="1" x14ac:dyDescent="0.25">
      <c r="A582" s="96"/>
      <c r="B582" s="99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 ht="15.75" thickBot="1" x14ac:dyDescent="0.25">
      <c r="A583" s="96"/>
      <c r="B583" s="99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 ht="15.75" thickBot="1" x14ac:dyDescent="0.25">
      <c r="A584" s="96"/>
      <c r="B584" s="99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 ht="15.75" thickBot="1" x14ac:dyDescent="0.25">
      <c r="A585" s="96"/>
      <c r="B585" s="99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 ht="15.75" thickBot="1" x14ac:dyDescent="0.25">
      <c r="A586" s="96"/>
      <c r="B586" s="99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 ht="15.75" thickBot="1" x14ac:dyDescent="0.25">
      <c r="A587" s="96"/>
      <c r="B587" s="99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 ht="15.75" thickBot="1" x14ac:dyDescent="0.25">
      <c r="A588" s="96"/>
      <c r="B588" s="99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 ht="15.75" thickBot="1" x14ac:dyDescent="0.25">
      <c r="A589" s="96"/>
      <c r="B589" s="99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 ht="15.75" thickBot="1" x14ac:dyDescent="0.25">
      <c r="A590" s="96"/>
      <c r="B590" s="99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 ht="15.75" thickBot="1" x14ac:dyDescent="0.25">
      <c r="A591" s="96"/>
      <c r="B591" s="99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 ht="15.75" thickBot="1" x14ac:dyDescent="0.25">
      <c r="A592" s="96"/>
      <c r="B592" s="99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 ht="15.75" thickBot="1" x14ac:dyDescent="0.25">
      <c r="A593" s="96"/>
      <c r="B593" s="99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 ht="15.75" thickBot="1" x14ac:dyDescent="0.25">
      <c r="A594" s="96"/>
      <c r="B594" s="99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 ht="15.75" thickBot="1" x14ac:dyDescent="0.25">
      <c r="A595" s="96"/>
      <c r="B595" s="99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 ht="15.75" thickBot="1" x14ac:dyDescent="0.25">
      <c r="A596" s="96"/>
      <c r="B596" s="99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 ht="15.75" thickBot="1" x14ac:dyDescent="0.25">
      <c r="A597" s="96"/>
      <c r="B597" s="99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 ht="15.75" thickBot="1" x14ac:dyDescent="0.25">
      <c r="A598" s="96"/>
      <c r="B598" s="99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 ht="15.75" thickBot="1" x14ac:dyDescent="0.25">
      <c r="A599" s="96"/>
      <c r="B599" s="99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 ht="15.75" thickBot="1" x14ac:dyDescent="0.25">
      <c r="A600" s="96"/>
      <c r="B600" s="99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 ht="15.75" thickBot="1" x14ac:dyDescent="0.25">
      <c r="A601" s="96"/>
      <c r="B601" s="99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 ht="15.75" thickBot="1" x14ac:dyDescent="0.25">
      <c r="A602" s="96"/>
      <c r="B602" s="99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 ht="15.75" thickBot="1" x14ac:dyDescent="0.25">
      <c r="A603" s="96"/>
      <c r="B603" s="99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 ht="15.75" thickBot="1" x14ac:dyDescent="0.25">
      <c r="A604" s="96"/>
      <c r="B604" s="99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 ht="15.75" thickBot="1" x14ac:dyDescent="0.25">
      <c r="A605" s="96"/>
      <c r="B605" s="99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 ht="15.75" thickBot="1" x14ac:dyDescent="0.25">
      <c r="A606" s="96"/>
      <c r="B606" s="99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 ht="15.75" thickBot="1" x14ac:dyDescent="0.25">
      <c r="A607" s="96"/>
      <c r="B607" s="99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 ht="15.75" thickBot="1" x14ac:dyDescent="0.25">
      <c r="A608" s="96"/>
      <c r="B608" s="99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 ht="15.75" thickBot="1" x14ac:dyDescent="0.25">
      <c r="A609" s="96"/>
      <c r="B609" s="99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 ht="15.75" thickBot="1" x14ac:dyDescent="0.25">
      <c r="A610" s="96"/>
      <c r="B610" s="99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 ht="15.75" thickBot="1" x14ac:dyDescent="0.25">
      <c r="A611" s="96"/>
      <c r="B611" s="99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 ht="15.75" thickBot="1" x14ac:dyDescent="0.25">
      <c r="A612" s="96"/>
      <c r="B612" s="99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 ht="15.75" thickBot="1" x14ac:dyDescent="0.25">
      <c r="A613" s="96"/>
      <c r="B613" s="99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 ht="15.75" thickBot="1" x14ac:dyDescent="0.25">
      <c r="A614" s="96"/>
      <c r="B614" s="99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 ht="15.75" thickBot="1" x14ac:dyDescent="0.25">
      <c r="A615" s="96"/>
      <c r="B615" s="99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 ht="15.75" thickBot="1" x14ac:dyDescent="0.25">
      <c r="A616" s="96"/>
      <c r="B616" s="99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 ht="15.75" thickBot="1" x14ac:dyDescent="0.25">
      <c r="A617" s="96"/>
      <c r="B617" s="99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 ht="15.75" thickBot="1" x14ac:dyDescent="0.25">
      <c r="A618" s="96"/>
      <c r="B618" s="99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 ht="15.75" thickBot="1" x14ac:dyDescent="0.25">
      <c r="A619" s="96"/>
      <c r="B619" s="99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 ht="15.75" thickBot="1" x14ac:dyDescent="0.25">
      <c r="A620" s="96"/>
      <c r="B620" s="99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 ht="15.75" thickBot="1" x14ac:dyDescent="0.25">
      <c r="A621" s="96"/>
      <c r="B621" s="99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 ht="15.75" thickBot="1" x14ac:dyDescent="0.25">
      <c r="A622" s="96"/>
      <c r="B622" s="99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 ht="15.75" thickBot="1" x14ac:dyDescent="0.25">
      <c r="A623" s="96"/>
      <c r="B623" s="99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 ht="15.75" thickBot="1" x14ac:dyDescent="0.25">
      <c r="A624" s="96"/>
      <c r="B624" s="99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 ht="15.75" thickBot="1" x14ac:dyDescent="0.25">
      <c r="A625" s="96"/>
      <c r="B625" s="99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 ht="15.75" thickBot="1" x14ac:dyDescent="0.25">
      <c r="A626" s="96"/>
      <c r="B626" s="99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 ht="15.75" thickBot="1" x14ac:dyDescent="0.25">
      <c r="A627" s="96"/>
      <c r="B627" s="99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 ht="15.75" thickBot="1" x14ac:dyDescent="0.25">
      <c r="A628" s="96"/>
      <c r="B628" s="99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 ht="15.75" thickBot="1" x14ac:dyDescent="0.25">
      <c r="A629" s="96"/>
      <c r="B629" s="99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 ht="15.75" thickBot="1" x14ac:dyDescent="0.25">
      <c r="A630" s="96"/>
      <c r="B630" s="99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 ht="15.75" thickBot="1" x14ac:dyDescent="0.25">
      <c r="A631" s="96"/>
      <c r="B631" s="99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 ht="15.75" thickBot="1" x14ac:dyDescent="0.25">
      <c r="A632" s="96"/>
      <c r="B632" s="99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 ht="15.75" thickBot="1" x14ac:dyDescent="0.25">
      <c r="A633" s="96"/>
      <c r="B633" s="99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 ht="15.75" thickBot="1" x14ac:dyDescent="0.25">
      <c r="A634" s="96"/>
      <c r="B634" s="99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 ht="15.75" thickBot="1" x14ac:dyDescent="0.25">
      <c r="A635" s="96"/>
      <c r="B635" s="99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 ht="15.75" thickBot="1" x14ac:dyDescent="0.25">
      <c r="A636" s="96"/>
      <c r="B636" s="99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 ht="15.75" thickBot="1" x14ac:dyDescent="0.25">
      <c r="A637" s="96"/>
      <c r="B637" s="99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 ht="15.75" thickBot="1" x14ac:dyDescent="0.25">
      <c r="A638" s="96"/>
      <c r="B638" s="99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 ht="15.75" thickBot="1" x14ac:dyDescent="0.25">
      <c r="A639" s="96"/>
      <c r="B639" s="99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 ht="15.75" thickBot="1" x14ac:dyDescent="0.25">
      <c r="A640" s="96"/>
      <c r="B640" s="99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 ht="15.75" thickBot="1" x14ac:dyDescent="0.25">
      <c r="A641" s="96"/>
      <c r="B641" s="99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 ht="15.75" thickBot="1" x14ac:dyDescent="0.25">
      <c r="A642" s="96"/>
      <c r="B642" s="99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 ht="15.75" thickBot="1" x14ac:dyDescent="0.25">
      <c r="A643" s="96"/>
      <c r="B643" s="99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 ht="15.75" thickBot="1" x14ac:dyDescent="0.25">
      <c r="A644" s="96"/>
      <c r="B644" s="99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 ht="15.75" thickBot="1" x14ac:dyDescent="0.25">
      <c r="A645" s="96"/>
      <c r="B645" s="99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 ht="15.75" thickBot="1" x14ac:dyDescent="0.25">
      <c r="A646" s="96"/>
      <c r="B646" s="99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 ht="15.75" thickBot="1" x14ac:dyDescent="0.25">
      <c r="A647" s="96"/>
      <c r="B647" s="99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 ht="15.75" thickBot="1" x14ac:dyDescent="0.25">
      <c r="A648" s="96"/>
      <c r="B648" s="99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 ht="15.75" thickBot="1" x14ac:dyDescent="0.25">
      <c r="A649" s="96"/>
      <c r="B649" s="99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 ht="15.75" thickBot="1" x14ac:dyDescent="0.25">
      <c r="A650" s="96"/>
      <c r="B650" s="99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 ht="15.75" thickBot="1" x14ac:dyDescent="0.25">
      <c r="A651" s="96"/>
      <c r="B651" s="99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 ht="15.75" thickBot="1" x14ac:dyDescent="0.25">
      <c r="A652" s="96"/>
      <c r="B652" s="99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 ht="15.75" thickBot="1" x14ac:dyDescent="0.25">
      <c r="A653" s="96"/>
      <c r="B653" s="99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 ht="15.75" thickBot="1" x14ac:dyDescent="0.25">
      <c r="A654" s="96"/>
      <c r="B654" s="99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 ht="15.75" thickBot="1" x14ac:dyDescent="0.25">
      <c r="A655" s="96"/>
      <c r="B655" s="99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 ht="15.75" thickBot="1" x14ac:dyDescent="0.25">
      <c r="A656" s="96"/>
      <c r="B656" s="99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 ht="15.75" thickBot="1" x14ac:dyDescent="0.25">
      <c r="A657" s="96"/>
      <c r="B657" s="99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 ht="15.75" thickBot="1" x14ac:dyDescent="0.25">
      <c r="A658" s="96"/>
      <c r="B658" s="99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 ht="15.75" thickBot="1" x14ac:dyDescent="0.25">
      <c r="A659" s="96"/>
      <c r="B659" s="99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 ht="15.75" thickBot="1" x14ac:dyDescent="0.25">
      <c r="A660" s="96"/>
      <c r="B660" s="99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 ht="15.75" thickBot="1" x14ac:dyDescent="0.25">
      <c r="A661" s="96"/>
      <c r="B661" s="99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 ht="15.75" thickBot="1" x14ac:dyDescent="0.25">
      <c r="A662" s="96"/>
      <c r="B662" s="99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 ht="15.75" thickBot="1" x14ac:dyDescent="0.25">
      <c r="A663" s="96"/>
      <c r="B663" s="99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 ht="15.75" thickBot="1" x14ac:dyDescent="0.25">
      <c r="A664" s="96"/>
      <c r="B664" s="99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 ht="15.75" thickBot="1" x14ac:dyDescent="0.25">
      <c r="A665" s="96"/>
      <c r="B665" s="99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 ht="15.75" thickBot="1" x14ac:dyDescent="0.25">
      <c r="A666" s="96"/>
      <c r="B666" s="99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 ht="15.75" thickBot="1" x14ac:dyDescent="0.25">
      <c r="A667" s="96"/>
      <c r="B667" s="99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 ht="15.75" thickBot="1" x14ac:dyDescent="0.25">
      <c r="A668" s="96"/>
      <c r="B668" s="99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 ht="15.75" thickBot="1" x14ac:dyDescent="0.25">
      <c r="A669" s="96"/>
      <c r="B669" s="99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 ht="15.75" thickBot="1" x14ac:dyDescent="0.25">
      <c r="A670" s="96"/>
      <c r="B670" s="99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 ht="15.75" thickBot="1" x14ac:dyDescent="0.25">
      <c r="A671" s="96"/>
      <c r="B671" s="99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 ht="15.75" thickBot="1" x14ac:dyDescent="0.25">
      <c r="A672" s="96"/>
      <c r="B672" s="99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 ht="15.75" thickBot="1" x14ac:dyDescent="0.25">
      <c r="A673" s="96"/>
      <c r="B673" s="99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 ht="15.75" thickBot="1" x14ac:dyDescent="0.25">
      <c r="A674" s="96"/>
      <c r="B674" s="99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 ht="15.75" thickBot="1" x14ac:dyDescent="0.25">
      <c r="A675" s="96"/>
      <c r="B675" s="99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 ht="15.75" thickBot="1" x14ac:dyDescent="0.25">
      <c r="A676" s="96"/>
      <c r="B676" s="99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 ht="15.75" thickBot="1" x14ac:dyDescent="0.25">
      <c r="A677" s="96"/>
      <c r="B677" s="99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 ht="15.75" thickBot="1" x14ac:dyDescent="0.25">
      <c r="A678" s="96"/>
      <c r="B678" s="99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 ht="15.75" thickBot="1" x14ac:dyDescent="0.25">
      <c r="A679" s="96"/>
      <c r="B679" s="99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 ht="15.75" thickBot="1" x14ac:dyDescent="0.25">
      <c r="A680" s="96"/>
      <c r="B680" s="99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 ht="15.75" thickBot="1" x14ac:dyDescent="0.25">
      <c r="A681" s="96"/>
      <c r="B681" s="99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 ht="15.75" thickBot="1" x14ac:dyDescent="0.25">
      <c r="A682" s="96"/>
      <c r="B682" s="99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 ht="15.75" thickBot="1" x14ac:dyDescent="0.25">
      <c r="A683" s="96"/>
      <c r="B683" s="99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 ht="15.75" thickBot="1" x14ac:dyDescent="0.25">
      <c r="A684" s="96"/>
      <c r="B684" s="99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 ht="15.75" thickBot="1" x14ac:dyDescent="0.25">
      <c r="A685" s="96"/>
      <c r="B685" s="99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 ht="15.75" thickBot="1" x14ac:dyDescent="0.25">
      <c r="A686" s="96"/>
      <c r="B686" s="99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 ht="15.75" thickBot="1" x14ac:dyDescent="0.25">
      <c r="A687" s="96"/>
      <c r="B687" s="99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 ht="15.75" thickBot="1" x14ac:dyDescent="0.25">
      <c r="A688" s="96"/>
      <c r="B688" s="99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 ht="15.75" thickBot="1" x14ac:dyDescent="0.25">
      <c r="A689" s="96"/>
      <c r="B689" s="99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 ht="15.75" thickBot="1" x14ac:dyDescent="0.25">
      <c r="A690" s="96"/>
      <c r="B690" s="99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 ht="15.75" thickBot="1" x14ac:dyDescent="0.25">
      <c r="A691" s="96"/>
      <c r="B691" s="99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 ht="15.75" thickBot="1" x14ac:dyDescent="0.25">
      <c r="A692" s="96"/>
      <c r="B692" s="99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 ht="15.75" thickBot="1" x14ac:dyDescent="0.25">
      <c r="A693" s="96"/>
      <c r="B693" s="99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 ht="15.75" thickBot="1" x14ac:dyDescent="0.25">
      <c r="A694" s="96"/>
      <c r="B694" s="99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 ht="15.75" thickBot="1" x14ac:dyDescent="0.25">
      <c r="A695" s="96"/>
      <c r="B695" s="99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 ht="15.75" thickBot="1" x14ac:dyDescent="0.25">
      <c r="A696" s="96"/>
      <c r="B696" s="99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 ht="15.75" thickBot="1" x14ac:dyDescent="0.25">
      <c r="A697" s="96"/>
      <c r="B697" s="99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 ht="15.75" thickBot="1" x14ac:dyDescent="0.25">
      <c r="A698" s="96"/>
      <c r="B698" s="99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 ht="15.75" thickBot="1" x14ac:dyDescent="0.25">
      <c r="A699" s="96"/>
      <c r="B699" s="99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 ht="15.75" thickBot="1" x14ac:dyDescent="0.25">
      <c r="A700" s="96"/>
      <c r="B700" s="99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 ht="15.75" thickBot="1" x14ac:dyDescent="0.25">
      <c r="A701" s="96"/>
      <c r="B701" s="99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 ht="15.75" thickBot="1" x14ac:dyDescent="0.25">
      <c r="A702" s="96"/>
      <c r="B702" s="99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 ht="15.75" thickBot="1" x14ac:dyDescent="0.25">
      <c r="A703" s="96"/>
      <c r="B703" s="99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 ht="15.75" thickBot="1" x14ac:dyDescent="0.25">
      <c r="A704" s="96"/>
      <c r="B704" s="99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 ht="15.75" thickBot="1" x14ac:dyDescent="0.25">
      <c r="A705" s="96"/>
      <c r="B705" s="99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 ht="15.75" thickBot="1" x14ac:dyDescent="0.25">
      <c r="A706" s="96"/>
      <c r="B706" s="99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 ht="15.75" thickBot="1" x14ac:dyDescent="0.25">
      <c r="A707" s="96"/>
      <c r="B707" s="99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 ht="15.75" thickBot="1" x14ac:dyDescent="0.25">
      <c r="A708" s="96"/>
      <c r="B708" s="99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 ht="15.75" thickBot="1" x14ac:dyDescent="0.25">
      <c r="A709" s="96"/>
      <c r="B709" s="99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 ht="15.75" thickBot="1" x14ac:dyDescent="0.25">
      <c r="A710" s="96"/>
      <c r="B710" s="99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 ht="15.75" thickBot="1" x14ac:dyDescent="0.25">
      <c r="A711" s="96"/>
      <c r="B711" s="99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 ht="15.75" thickBot="1" x14ac:dyDescent="0.25">
      <c r="A712" s="96"/>
      <c r="B712" s="99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 ht="15.75" thickBot="1" x14ac:dyDescent="0.25">
      <c r="A713" s="96"/>
      <c r="B713" s="99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 ht="15.75" thickBot="1" x14ac:dyDescent="0.25">
      <c r="A714" s="96"/>
      <c r="B714" s="99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 ht="15.75" thickBot="1" x14ac:dyDescent="0.25">
      <c r="A715" s="96"/>
      <c r="B715" s="99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 ht="15.75" thickBot="1" x14ac:dyDescent="0.25">
      <c r="A716" s="96"/>
      <c r="B716" s="99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 ht="15.75" thickBot="1" x14ac:dyDescent="0.25">
      <c r="A717" s="96"/>
      <c r="B717" s="99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 ht="15.75" thickBot="1" x14ac:dyDescent="0.25">
      <c r="A718" s="96"/>
      <c r="B718" s="99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 ht="15.75" thickBot="1" x14ac:dyDescent="0.25">
      <c r="A719" s="96"/>
      <c r="B719" s="99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 ht="15.75" thickBot="1" x14ac:dyDescent="0.25">
      <c r="A720" s="96"/>
      <c r="B720" s="99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 ht="15.75" thickBot="1" x14ac:dyDescent="0.25">
      <c r="A721" s="96"/>
      <c r="B721" s="99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 ht="15.75" thickBot="1" x14ac:dyDescent="0.25">
      <c r="A722" s="96"/>
      <c r="B722" s="99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 ht="15.75" thickBot="1" x14ac:dyDescent="0.25">
      <c r="A723" s="96"/>
      <c r="B723" s="99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 ht="15.75" thickBot="1" x14ac:dyDescent="0.25">
      <c r="A724" s="96"/>
      <c r="B724" s="99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 ht="15.75" thickBot="1" x14ac:dyDescent="0.25">
      <c r="A725" s="96"/>
      <c r="B725" s="99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 ht="15.75" thickBot="1" x14ac:dyDescent="0.25">
      <c r="A726" s="96"/>
      <c r="B726" s="99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 ht="15.75" thickBot="1" x14ac:dyDescent="0.25">
      <c r="A727" s="96"/>
      <c r="B727" s="99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 ht="15.75" thickBot="1" x14ac:dyDescent="0.25">
      <c r="A728" s="96"/>
      <c r="B728" s="99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 ht="15.75" thickBot="1" x14ac:dyDescent="0.25">
      <c r="A729" s="96"/>
      <c r="B729" s="99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 ht="15.75" thickBot="1" x14ac:dyDescent="0.25">
      <c r="A730" s="96"/>
      <c r="B730" s="99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 ht="15.75" thickBot="1" x14ac:dyDescent="0.25">
      <c r="A731" s="96"/>
      <c r="B731" s="99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 ht="15.75" thickBot="1" x14ac:dyDescent="0.25">
      <c r="A732" s="96"/>
      <c r="B732" s="99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 ht="15.75" thickBot="1" x14ac:dyDescent="0.25">
      <c r="A733" s="96"/>
      <c r="B733" s="99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 ht="15.75" thickBot="1" x14ac:dyDescent="0.25">
      <c r="A734" s="96"/>
      <c r="B734" s="99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 ht="15.75" thickBot="1" x14ac:dyDescent="0.25">
      <c r="A735" s="96"/>
      <c r="B735" s="99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 ht="15.75" thickBot="1" x14ac:dyDescent="0.25">
      <c r="A736" s="96"/>
      <c r="B736" s="99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 ht="15.75" thickBot="1" x14ac:dyDescent="0.25">
      <c r="A737" s="96"/>
      <c r="B737" s="99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 ht="15.75" thickBot="1" x14ac:dyDescent="0.25">
      <c r="A738" s="96"/>
      <c r="B738" s="99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 ht="15.75" thickBot="1" x14ac:dyDescent="0.25">
      <c r="A739" s="96"/>
      <c r="B739" s="99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 ht="15.75" thickBot="1" x14ac:dyDescent="0.25">
      <c r="A740" s="96"/>
      <c r="B740" s="99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 ht="15.75" thickBot="1" x14ac:dyDescent="0.25">
      <c r="A741" s="96"/>
      <c r="B741" s="99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 ht="15.75" thickBot="1" x14ac:dyDescent="0.25">
      <c r="A742" s="96"/>
      <c r="B742" s="99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 ht="15.75" thickBot="1" x14ac:dyDescent="0.25">
      <c r="A743" s="96"/>
      <c r="B743" s="99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 ht="15.75" thickBot="1" x14ac:dyDescent="0.25">
      <c r="A744" s="96"/>
      <c r="B744" s="99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 ht="15.75" thickBot="1" x14ac:dyDescent="0.25">
      <c r="A745" s="96"/>
      <c r="B745" s="99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 ht="15.75" thickBot="1" x14ac:dyDescent="0.25">
      <c r="A746" s="96"/>
      <c r="B746" s="99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 ht="15.75" thickBot="1" x14ac:dyDescent="0.25">
      <c r="A747" s="96"/>
      <c r="B747" s="99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 ht="15.75" thickBot="1" x14ac:dyDescent="0.25">
      <c r="A748" s="96"/>
      <c r="B748" s="99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 ht="15.75" thickBot="1" x14ac:dyDescent="0.25">
      <c r="A749" s="96"/>
      <c r="B749" s="99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 ht="15.75" thickBot="1" x14ac:dyDescent="0.25">
      <c r="A750" s="96"/>
      <c r="B750" s="99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 ht="15.75" thickBot="1" x14ac:dyDescent="0.25">
      <c r="A751" s="96"/>
      <c r="B751" s="99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 ht="15.75" thickBot="1" x14ac:dyDescent="0.25">
      <c r="A752" s="96"/>
      <c r="B752" s="99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 ht="15.75" thickBot="1" x14ac:dyDescent="0.25">
      <c r="A753" s="96"/>
      <c r="B753" s="99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 ht="15.75" thickBot="1" x14ac:dyDescent="0.25">
      <c r="A754" s="96"/>
      <c r="B754" s="99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 ht="15.75" thickBot="1" x14ac:dyDescent="0.25">
      <c r="A755" s="96"/>
      <c r="B755" s="99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 ht="15.75" thickBot="1" x14ac:dyDescent="0.25">
      <c r="A756" s="96"/>
      <c r="B756" s="99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 ht="15.75" thickBot="1" x14ac:dyDescent="0.25">
      <c r="A757" s="96"/>
      <c r="B757" s="99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 ht="15.75" thickBot="1" x14ac:dyDescent="0.25">
      <c r="A758" s="96"/>
      <c r="B758" s="99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 ht="15.75" thickBot="1" x14ac:dyDescent="0.25">
      <c r="A759" s="96"/>
      <c r="B759" s="99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 ht="15.75" thickBot="1" x14ac:dyDescent="0.25">
      <c r="A760" s="96"/>
      <c r="B760" s="99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 ht="15.75" thickBot="1" x14ac:dyDescent="0.25">
      <c r="A761" s="96"/>
      <c r="B761" s="99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 ht="15.75" thickBot="1" x14ac:dyDescent="0.25">
      <c r="A762" s="96"/>
      <c r="B762" s="99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 ht="15.75" thickBot="1" x14ac:dyDescent="0.25">
      <c r="A763" s="96"/>
      <c r="B763" s="99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 ht="15.75" thickBot="1" x14ac:dyDescent="0.25">
      <c r="A764" s="96"/>
      <c r="B764" s="99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 ht="15.75" thickBot="1" x14ac:dyDescent="0.25">
      <c r="A765" s="96"/>
      <c r="B765" s="99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 ht="15.75" thickBot="1" x14ac:dyDescent="0.25">
      <c r="A766" s="96"/>
      <c r="B766" s="99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 ht="15.75" thickBot="1" x14ac:dyDescent="0.25">
      <c r="A767" s="96"/>
      <c r="B767" s="99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 ht="15.75" thickBot="1" x14ac:dyDescent="0.25">
      <c r="A768" s="96"/>
      <c r="B768" s="99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 ht="15.75" thickBot="1" x14ac:dyDescent="0.25">
      <c r="A769" s="96"/>
      <c r="B769" s="99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 ht="15.75" thickBot="1" x14ac:dyDescent="0.25">
      <c r="A770" s="96"/>
      <c r="B770" s="99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 ht="15.75" thickBot="1" x14ac:dyDescent="0.25">
      <c r="A771" s="96"/>
      <c r="B771" s="99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 ht="15.75" thickBot="1" x14ac:dyDescent="0.25">
      <c r="A772" s="96"/>
      <c r="B772" s="99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 ht="15.75" thickBot="1" x14ac:dyDescent="0.25">
      <c r="A773" s="96"/>
      <c r="B773" s="99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 ht="15.75" thickBot="1" x14ac:dyDescent="0.25">
      <c r="A774" s="96"/>
      <c r="B774" s="99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 ht="15.75" thickBot="1" x14ac:dyDescent="0.25">
      <c r="A775" s="96"/>
      <c r="B775" s="99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 ht="15.75" thickBot="1" x14ac:dyDescent="0.25">
      <c r="A776" s="96"/>
      <c r="B776" s="99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 ht="15.75" thickBot="1" x14ac:dyDescent="0.25">
      <c r="A777" s="96"/>
      <c r="B777" s="99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 ht="15.75" thickBot="1" x14ac:dyDescent="0.25">
      <c r="A778" s="96"/>
      <c r="B778" s="99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 ht="15.75" thickBot="1" x14ac:dyDescent="0.25">
      <c r="A779" s="96"/>
      <c r="B779" s="99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 ht="15.75" thickBot="1" x14ac:dyDescent="0.25">
      <c r="A780" s="96"/>
      <c r="B780" s="99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 ht="15.75" thickBot="1" x14ac:dyDescent="0.25">
      <c r="A781" s="96"/>
      <c r="B781" s="99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 ht="15.75" thickBot="1" x14ac:dyDescent="0.25">
      <c r="A782" s="96"/>
      <c r="B782" s="99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 ht="15.75" thickBot="1" x14ac:dyDescent="0.25">
      <c r="A783" s="96"/>
      <c r="B783" s="99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 ht="15.75" thickBot="1" x14ac:dyDescent="0.25">
      <c r="A784" s="96"/>
      <c r="B784" s="99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 ht="15.75" thickBot="1" x14ac:dyDescent="0.25">
      <c r="A785" s="96"/>
      <c r="B785" s="99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 ht="15.75" thickBot="1" x14ac:dyDescent="0.25">
      <c r="A786" s="96"/>
      <c r="B786" s="99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 ht="15.75" thickBot="1" x14ac:dyDescent="0.25">
      <c r="A787" s="96"/>
      <c r="B787" s="99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 ht="15.75" thickBot="1" x14ac:dyDescent="0.25">
      <c r="A788" s="96"/>
      <c r="B788" s="99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 ht="15.75" thickBot="1" x14ac:dyDescent="0.25">
      <c r="A789" s="96"/>
      <c r="B789" s="99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 ht="15.75" thickBot="1" x14ac:dyDescent="0.25">
      <c r="A790" s="96"/>
      <c r="B790" s="99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 ht="15.75" thickBot="1" x14ac:dyDescent="0.25">
      <c r="A791" s="96"/>
      <c r="B791" s="99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 ht="15.75" thickBot="1" x14ac:dyDescent="0.25">
      <c r="A792" s="96"/>
      <c r="B792" s="99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 ht="15.75" thickBot="1" x14ac:dyDescent="0.25">
      <c r="A793" s="96"/>
      <c r="B793" s="99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 ht="15.75" thickBot="1" x14ac:dyDescent="0.25">
      <c r="A794" s="96"/>
      <c r="B794" s="99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 ht="15.75" thickBot="1" x14ac:dyDescent="0.25">
      <c r="A795" s="96"/>
      <c r="B795" s="99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 ht="15.75" thickBot="1" x14ac:dyDescent="0.25">
      <c r="A796" s="96"/>
      <c r="B796" s="99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 ht="15.75" thickBot="1" x14ac:dyDescent="0.25">
      <c r="A797" s="96"/>
      <c r="B797" s="99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 ht="15.75" thickBot="1" x14ac:dyDescent="0.25">
      <c r="A798" s="96"/>
      <c r="B798" s="99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 ht="15.75" thickBot="1" x14ac:dyDescent="0.25">
      <c r="A799" s="96"/>
      <c r="B799" s="99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 ht="15.75" thickBot="1" x14ac:dyDescent="0.25">
      <c r="A800" s="96"/>
      <c r="B800" s="99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 ht="15.75" thickBot="1" x14ac:dyDescent="0.25">
      <c r="A801" s="96"/>
      <c r="B801" s="99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 ht="15.75" thickBot="1" x14ac:dyDescent="0.25">
      <c r="A802" s="96"/>
      <c r="B802" s="99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 ht="15.75" thickBot="1" x14ac:dyDescent="0.25">
      <c r="A803" s="96"/>
      <c r="B803" s="99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 ht="15.75" thickBot="1" x14ac:dyDescent="0.25">
      <c r="A804" s="96"/>
      <c r="B804" s="99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 ht="15.75" thickBot="1" x14ac:dyDescent="0.25">
      <c r="A805" s="96"/>
      <c r="B805" s="99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 ht="15.75" thickBot="1" x14ac:dyDescent="0.25">
      <c r="A806" s="96"/>
      <c r="B806" s="99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 ht="15.75" thickBot="1" x14ac:dyDescent="0.25">
      <c r="A807" s="96"/>
      <c r="B807" s="99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 ht="15.75" thickBot="1" x14ac:dyDescent="0.25">
      <c r="A808" s="96"/>
      <c r="B808" s="99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 ht="15.75" thickBot="1" x14ac:dyDescent="0.25">
      <c r="A809" s="96"/>
      <c r="B809" s="99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 ht="15.75" thickBot="1" x14ac:dyDescent="0.25">
      <c r="A810" s="96"/>
      <c r="B810" s="99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 ht="15.75" thickBot="1" x14ac:dyDescent="0.25">
      <c r="A811" s="96"/>
      <c r="B811" s="99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 ht="15.75" thickBot="1" x14ac:dyDescent="0.25">
      <c r="A812" s="96"/>
      <c r="B812" s="99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 ht="15.75" thickBot="1" x14ac:dyDescent="0.25">
      <c r="A813" s="96"/>
      <c r="B813" s="99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 ht="15.75" thickBot="1" x14ac:dyDescent="0.25">
      <c r="A814" s="96"/>
      <c r="B814" s="99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 ht="15.75" thickBot="1" x14ac:dyDescent="0.25">
      <c r="A815" s="96"/>
      <c r="B815" s="99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 ht="15.75" thickBot="1" x14ac:dyDescent="0.25">
      <c r="A816" s="96"/>
      <c r="B816" s="99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 ht="15.75" thickBot="1" x14ac:dyDescent="0.25">
      <c r="A817" s="96"/>
      <c r="B817" s="99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 ht="15.75" thickBot="1" x14ac:dyDescent="0.25">
      <c r="A818" s="96"/>
      <c r="B818" s="99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 ht="15.75" thickBot="1" x14ac:dyDescent="0.25">
      <c r="A819" s="96"/>
      <c r="B819" s="99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 ht="15.75" thickBot="1" x14ac:dyDescent="0.25">
      <c r="A820" s="96"/>
      <c r="B820" s="99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 ht="15.75" thickBot="1" x14ac:dyDescent="0.25">
      <c r="A821" s="96"/>
      <c r="B821" s="99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 ht="15.75" thickBot="1" x14ac:dyDescent="0.25">
      <c r="A822" s="96"/>
      <c r="B822" s="99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 ht="15.75" thickBot="1" x14ac:dyDescent="0.25">
      <c r="A823" s="96"/>
      <c r="B823" s="99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 ht="15.75" thickBot="1" x14ac:dyDescent="0.25">
      <c r="A824" s="96"/>
      <c r="B824" s="99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 ht="15.75" thickBot="1" x14ac:dyDescent="0.25">
      <c r="A825" s="96"/>
      <c r="B825" s="99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 ht="15.75" thickBot="1" x14ac:dyDescent="0.25">
      <c r="A826" s="96"/>
      <c r="B826" s="99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 ht="15.75" thickBot="1" x14ac:dyDescent="0.25">
      <c r="A827" s="96"/>
      <c r="B827" s="99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 ht="15.75" thickBot="1" x14ac:dyDescent="0.25">
      <c r="A828" s="96"/>
      <c r="B828" s="99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 ht="15.75" thickBot="1" x14ac:dyDescent="0.25">
      <c r="A829" s="96"/>
      <c r="B829" s="99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 ht="15.75" thickBot="1" x14ac:dyDescent="0.25">
      <c r="A830" s="96"/>
      <c r="B830" s="99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 ht="15.75" thickBot="1" x14ac:dyDescent="0.25">
      <c r="A831" s="96"/>
      <c r="B831" s="99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 ht="15.75" thickBot="1" x14ac:dyDescent="0.25">
      <c r="A832" s="96"/>
      <c r="B832" s="99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 ht="15.75" thickBot="1" x14ac:dyDescent="0.25">
      <c r="A833" s="96"/>
      <c r="B833" s="99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 ht="15.75" thickBot="1" x14ac:dyDescent="0.25">
      <c r="A834" s="96"/>
      <c r="B834" s="99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 ht="15.75" thickBot="1" x14ac:dyDescent="0.25">
      <c r="A835" s="96"/>
      <c r="B835" s="99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 ht="15.75" thickBot="1" x14ac:dyDescent="0.25">
      <c r="A836" s="96"/>
      <c r="B836" s="99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 ht="15.75" thickBot="1" x14ac:dyDescent="0.25">
      <c r="A837" s="96"/>
      <c r="B837" s="99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 ht="15.75" thickBot="1" x14ac:dyDescent="0.25">
      <c r="A838" s="96"/>
      <c r="B838" s="99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 ht="15.75" thickBot="1" x14ac:dyDescent="0.25">
      <c r="A839" s="96"/>
      <c r="B839" s="99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 ht="15.75" thickBot="1" x14ac:dyDescent="0.25">
      <c r="A840" s="96"/>
      <c r="B840" s="99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 ht="15.75" thickBot="1" x14ac:dyDescent="0.25">
      <c r="A841" s="96"/>
      <c r="B841" s="99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 ht="15.75" thickBot="1" x14ac:dyDescent="0.25">
      <c r="A842" s="96"/>
      <c r="B842" s="99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 ht="15.75" thickBot="1" x14ac:dyDescent="0.25">
      <c r="A843" s="96"/>
      <c r="B843" s="99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 ht="15.75" thickBot="1" x14ac:dyDescent="0.25">
      <c r="A844" s="96"/>
      <c r="B844" s="99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 ht="15.75" thickBot="1" x14ac:dyDescent="0.25">
      <c r="A845" s="96"/>
      <c r="B845" s="99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 ht="15.75" thickBot="1" x14ac:dyDescent="0.25">
      <c r="A846" s="96"/>
      <c r="B846" s="99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 ht="15.75" thickBot="1" x14ac:dyDescent="0.25">
      <c r="A847" s="96"/>
      <c r="B847" s="99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 ht="15.75" thickBot="1" x14ac:dyDescent="0.25">
      <c r="A848" s="96"/>
      <c r="B848" s="99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 ht="15.75" thickBot="1" x14ac:dyDescent="0.25">
      <c r="A849" s="96"/>
      <c r="B849" s="99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 ht="15.75" thickBot="1" x14ac:dyDescent="0.25">
      <c r="A850" s="96"/>
      <c r="B850" s="99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 ht="15.75" thickBot="1" x14ac:dyDescent="0.25">
      <c r="A851" s="96"/>
      <c r="B851" s="99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 ht="15.75" thickBot="1" x14ac:dyDescent="0.25">
      <c r="A852" s="96"/>
      <c r="B852" s="99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 ht="15.75" thickBot="1" x14ac:dyDescent="0.25">
      <c r="A853" s="96"/>
      <c r="B853" s="99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 ht="15.75" thickBot="1" x14ac:dyDescent="0.25">
      <c r="A854" s="96"/>
      <c r="B854" s="99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 ht="15.75" thickBot="1" x14ac:dyDescent="0.25">
      <c r="A855" s="96"/>
      <c r="B855" s="99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 ht="15.75" thickBot="1" x14ac:dyDescent="0.25">
      <c r="A856" s="96"/>
      <c r="B856" s="99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 ht="15.75" thickBot="1" x14ac:dyDescent="0.25">
      <c r="A857" s="96"/>
      <c r="B857" s="99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 ht="15.75" thickBot="1" x14ac:dyDescent="0.25">
      <c r="A858" s="96"/>
      <c r="B858" s="99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 ht="15.75" thickBot="1" x14ac:dyDescent="0.25">
      <c r="A859" s="96"/>
      <c r="B859" s="99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 ht="15.75" thickBot="1" x14ac:dyDescent="0.25">
      <c r="A860" s="96"/>
      <c r="B860" s="99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 ht="15.75" thickBot="1" x14ac:dyDescent="0.25">
      <c r="A861" s="96"/>
      <c r="B861" s="99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 ht="15.75" thickBot="1" x14ac:dyDescent="0.25">
      <c r="A862" s="96"/>
      <c r="B862" s="99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 ht="15.75" thickBot="1" x14ac:dyDescent="0.25">
      <c r="A863" s="96"/>
      <c r="B863" s="99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 ht="15.75" thickBot="1" x14ac:dyDescent="0.25">
      <c r="A864" s="96"/>
      <c r="B864" s="99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 ht="15.75" thickBot="1" x14ac:dyDescent="0.25">
      <c r="A865" s="96"/>
      <c r="B865" s="99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 ht="15.75" thickBot="1" x14ac:dyDescent="0.25">
      <c r="A866" s="96"/>
      <c r="B866" s="99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 ht="15.75" thickBot="1" x14ac:dyDescent="0.25">
      <c r="A867" s="96"/>
      <c r="B867" s="99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 ht="15.75" thickBot="1" x14ac:dyDescent="0.25">
      <c r="A868" s="96"/>
      <c r="B868" s="99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 ht="15.75" thickBot="1" x14ac:dyDescent="0.25">
      <c r="A869" s="96"/>
      <c r="B869" s="99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 ht="15.75" thickBot="1" x14ac:dyDescent="0.25">
      <c r="A870" s="96"/>
      <c r="B870" s="99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 ht="15.75" thickBot="1" x14ac:dyDescent="0.25">
      <c r="A871" s="96"/>
      <c r="B871" s="99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 ht="15.75" thickBot="1" x14ac:dyDescent="0.25">
      <c r="A872" s="96"/>
      <c r="B872" s="99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 ht="15.75" thickBot="1" x14ac:dyDescent="0.25">
      <c r="A873" s="96"/>
      <c r="B873" s="99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 ht="15.75" thickBot="1" x14ac:dyDescent="0.25">
      <c r="A874" s="96"/>
      <c r="B874" s="99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 ht="15.75" thickBot="1" x14ac:dyDescent="0.25">
      <c r="A875" s="96"/>
      <c r="B875" s="99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 ht="15.75" thickBot="1" x14ac:dyDescent="0.25">
      <c r="A876" s="96"/>
      <c r="B876" s="99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 ht="15.75" thickBot="1" x14ac:dyDescent="0.25">
      <c r="A877" s="96"/>
      <c r="B877" s="99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 ht="15.75" thickBot="1" x14ac:dyDescent="0.25">
      <c r="A878" s="96"/>
      <c r="B878" s="99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 ht="15.75" thickBot="1" x14ac:dyDescent="0.25">
      <c r="A879" s="96"/>
      <c r="B879" s="99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 ht="15.75" thickBot="1" x14ac:dyDescent="0.25">
      <c r="A880" s="96"/>
      <c r="B880" s="99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 ht="15.75" thickBot="1" x14ac:dyDescent="0.25">
      <c r="A881" s="96"/>
      <c r="B881" s="99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 ht="15.75" thickBot="1" x14ac:dyDescent="0.25">
      <c r="A882" s="96"/>
      <c r="B882" s="99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 ht="15.75" thickBot="1" x14ac:dyDescent="0.25">
      <c r="A883" s="96"/>
      <c r="B883" s="99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 ht="15.75" thickBot="1" x14ac:dyDescent="0.25">
      <c r="A884" s="96"/>
      <c r="B884" s="99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 ht="15.75" thickBot="1" x14ac:dyDescent="0.25">
      <c r="A885" s="96"/>
      <c r="B885" s="99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 ht="15.75" thickBot="1" x14ac:dyDescent="0.25">
      <c r="A886" s="96"/>
      <c r="B886" s="99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 ht="15.75" thickBot="1" x14ac:dyDescent="0.25">
      <c r="A887" s="96"/>
      <c r="B887" s="99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 ht="15.75" thickBot="1" x14ac:dyDescent="0.25">
      <c r="A888" s="96"/>
      <c r="B888" s="99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 ht="15.75" thickBot="1" x14ac:dyDescent="0.25">
      <c r="A889" s="96"/>
      <c r="B889" s="99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 ht="15.75" thickBot="1" x14ac:dyDescent="0.25">
      <c r="A890" s="96"/>
      <c r="B890" s="99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 ht="15.75" thickBot="1" x14ac:dyDescent="0.25">
      <c r="A891" s="96"/>
      <c r="B891" s="99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 ht="15.75" thickBot="1" x14ac:dyDescent="0.25">
      <c r="A892" s="96"/>
      <c r="B892" s="99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 ht="15.75" thickBot="1" x14ac:dyDescent="0.25">
      <c r="A893" s="96"/>
      <c r="B893" s="99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 ht="15.75" thickBot="1" x14ac:dyDescent="0.25">
      <c r="A894" s="96"/>
      <c r="B894" s="99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 ht="15.75" thickBot="1" x14ac:dyDescent="0.25">
      <c r="A895" s="96"/>
      <c r="B895" s="99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 ht="15.75" thickBot="1" x14ac:dyDescent="0.25">
      <c r="A896" s="96"/>
      <c r="B896" s="99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 ht="15.75" thickBot="1" x14ac:dyDescent="0.25">
      <c r="A897" s="96"/>
      <c r="B897" s="99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 ht="15.75" thickBot="1" x14ac:dyDescent="0.25">
      <c r="A898" s="96"/>
      <c r="B898" s="99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 ht="15.75" thickBot="1" x14ac:dyDescent="0.25">
      <c r="A899" s="96"/>
      <c r="B899" s="99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 ht="15.75" thickBot="1" x14ac:dyDescent="0.25">
      <c r="A900" s="96"/>
      <c r="B900" s="99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 ht="15.75" thickBot="1" x14ac:dyDescent="0.25">
      <c r="A901" s="96"/>
      <c r="B901" s="99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 ht="15.75" thickBot="1" x14ac:dyDescent="0.25">
      <c r="A902" s="96"/>
      <c r="B902" s="99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 ht="15.75" thickBot="1" x14ac:dyDescent="0.25">
      <c r="A903" s="96"/>
      <c r="B903" s="99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 ht="15.75" thickBot="1" x14ac:dyDescent="0.25">
      <c r="A904" s="96"/>
      <c r="B904" s="99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 ht="15.75" thickBot="1" x14ac:dyDescent="0.25">
      <c r="A905" s="96"/>
      <c r="B905" s="99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 ht="15.75" thickBot="1" x14ac:dyDescent="0.25">
      <c r="A906" s="96"/>
      <c r="B906" s="99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 ht="15.75" thickBot="1" x14ac:dyDescent="0.25">
      <c r="A907" s="96"/>
      <c r="B907" s="99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 ht="15.75" thickBot="1" x14ac:dyDescent="0.25">
      <c r="A908" s="96"/>
      <c r="B908" s="99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 ht="15.75" thickBot="1" x14ac:dyDescent="0.25">
      <c r="A909" s="96"/>
      <c r="B909" s="99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 ht="15.75" thickBot="1" x14ac:dyDescent="0.25">
      <c r="A910" s="96"/>
      <c r="B910" s="99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 ht="15.75" thickBot="1" x14ac:dyDescent="0.25">
      <c r="A911" s="96"/>
      <c r="B911" s="99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 ht="15.75" thickBot="1" x14ac:dyDescent="0.25">
      <c r="A912" s="96"/>
      <c r="B912" s="99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 ht="15.75" thickBot="1" x14ac:dyDescent="0.25">
      <c r="A913" s="96"/>
      <c r="B913" s="99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 ht="15.75" thickBot="1" x14ac:dyDescent="0.25">
      <c r="A914" s="96"/>
      <c r="B914" s="99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 ht="15.75" thickBot="1" x14ac:dyDescent="0.25">
      <c r="A915" s="96"/>
      <c r="B915" s="99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 ht="15.75" thickBot="1" x14ac:dyDescent="0.25">
      <c r="A916" s="96"/>
      <c r="B916" s="99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 ht="15.75" thickBot="1" x14ac:dyDescent="0.25">
      <c r="A917" s="96"/>
      <c r="B917" s="99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 ht="15.75" thickBot="1" x14ac:dyDescent="0.25">
      <c r="A918" s="96"/>
      <c r="B918" s="99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 ht="15.75" thickBot="1" x14ac:dyDescent="0.25">
      <c r="A919" s="96"/>
      <c r="B919" s="99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 ht="15.75" thickBot="1" x14ac:dyDescent="0.25">
      <c r="A920" s="96"/>
      <c r="B920" s="99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 ht="15.75" thickBot="1" x14ac:dyDescent="0.25">
      <c r="A921" s="96"/>
      <c r="B921" s="99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 ht="15.75" thickBot="1" x14ac:dyDescent="0.25">
      <c r="A922" s="96"/>
      <c r="B922" s="99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 ht="15.75" thickBot="1" x14ac:dyDescent="0.25">
      <c r="A923" s="96"/>
      <c r="B923" s="99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 ht="15.75" thickBot="1" x14ac:dyDescent="0.25">
      <c r="A924" s="96"/>
      <c r="B924" s="99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 ht="15.75" thickBot="1" x14ac:dyDescent="0.25">
      <c r="A925" s="96"/>
      <c r="B925" s="99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 ht="15.75" thickBot="1" x14ac:dyDescent="0.25">
      <c r="A926" s="96"/>
      <c r="B926" s="99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 ht="15.75" thickBot="1" x14ac:dyDescent="0.25">
      <c r="A927" s="96"/>
      <c r="B927" s="99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 ht="15.75" thickBot="1" x14ac:dyDescent="0.25">
      <c r="A928" s="96"/>
      <c r="B928" s="99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 ht="15.75" thickBot="1" x14ac:dyDescent="0.25">
      <c r="A929" s="96"/>
      <c r="B929" s="99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 ht="15.75" thickBot="1" x14ac:dyDescent="0.25">
      <c r="A930" s="96"/>
      <c r="B930" s="99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 ht="15.75" thickBot="1" x14ac:dyDescent="0.25">
      <c r="A931" s="96"/>
      <c r="B931" s="99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 ht="15.75" thickBot="1" x14ac:dyDescent="0.25">
      <c r="A932" s="96"/>
      <c r="B932" s="99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 ht="15.75" thickBot="1" x14ac:dyDescent="0.25">
      <c r="A933" s="96"/>
      <c r="B933" s="99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 ht="15.75" thickBot="1" x14ac:dyDescent="0.25">
      <c r="A934" s="96"/>
      <c r="B934" s="99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 ht="15.75" thickBot="1" x14ac:dyDescent="0.25">
      <c r="A935" s="96"/>
      <c r="B935" s="99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 ht="15.75" thickBot="1" x14ac:dyDescent="0.25">
      <c r="A936" s="96"/>
      <c r="B936" s="99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 ht="15.75" thickBot="1" x14ac:dyDescent="0.25">
      <c r="A937" s="96"/>
      <c r="B937" s="99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 ht="15.75" thickBot="1" x14ac:dyDescent="0.25">
      <c r="A938" s="96"/>
      <c r="B938" s="99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 ht="15.75" thickBot="1" x14ac:dyDescent="0.25">
      <c r="A939" s="96"/>
      <c r="B939" s="99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 ht="15.75" thickBot="1" x14ac:dyDescent="0.25">
      <c r="A940" s="96"/>
      <c r="B940" s="99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 ht="15.75" thickBot="1" x14ac:dyDescent="0.25">
      <c r="A941" s="96"/>
      <c r="B941" s="99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 ht="15.75" thickBot="1" x14ac:dyDescent="0.25">
      <c r="A942" s="96"/>
      <c r="B942" s="99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 ht="15.75" thickBot="1" x14ac:dyDescent="0.25">
      <c r="A943" s="96"/>
      <c r="B943" s="99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 ht="15.75" thickBot="1" x14ac:dyDescent="0.25">
      <c r="A944" s="96"/>
      <c r="B944" s="99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 ht="15.75" thickBot="1" x14ac:dyDescent="0.25">
      <c r="A945" s="96"/>
      <c r="B945" s="99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 ht="15.75" thickBot="1" x14ac:dyDescent="0.25">
      <c r="A946" s="96"/>
      <c r="B946" s="99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 ht="15.75" thickBot="1" x14ac:dyDescent="0.25">
      <c r="A947" s="96"/>
      <c r="B947" s="99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 ht="15.75" thickBot="1" x14ac:dyDescent="0.25">
      <c r="A948" s="96"/>
      <c r="B948" s="99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 ht="15.75" thickBot="1" x14ac:dyDescent="0.25">
      <c r="A949" s="96"/>
      <c r="B949" s="99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 ht="15.75" thickBot="1" x14ac:dyDescent="0.25">
      <c r="A950" s="96"/>
      <c r="B950" s="99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 ht="15.75" thickBot="1" x14ac:dyDescent="0.25">
      <c r="A951" s="96"/>
      <c r="B951" s="99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 ht="15.75" thickBot="1" x14ac:dyDescent="0.25">
      <c r="A952" s="96"/>
      <c r="B952" s="99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 ht="15.75" thickBot="1" x14ac:dyDescent="0.25">
      <c r="A953" s="96"/>
      <c r="B953" s="99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 ht="15.75" thickBot="1" x14ac:dyDescent="0.25">
      <c r="A954" s="96"/>
      <c r="B954" s="99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 ht="15.75" thickBot="1" x14ac:dyDescent="0.25">
      <c r="A955" s="96"/>
      <c r="B955" s="99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 ht="15.75" thickBot="1" x14ac:dyDescent="0.25">
      <c r="A956" s="96"/>
      <c r="B956" s="99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 ht="15.75" thickBot="1" x14ac:dyDescent="0.25">
      <c r="A957" s="96"/>
      <c r="B957" s="99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 ht="15.75" thickBot="1" x14ac:dyDescent="0.25">
      <c r="A958" s="96"/>
      <c r="B958" s="99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 ht="15.75" thickBot="1" x14ac:dyDescent="0.25">
      <c r="A959" s="96"/>
      <c r="B959" s="99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 ht="15.75" thickBot="1" x14ac:dyDescent="0.25">
      <c r="A960" s="96"/>
      <c r="B960" s="99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 ht="15.75" thickBot="1" x14ac:dyDescent="0.25">
      <c r="A961" s="96"/>
      <c r="B961" s="99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 ht="15.75" thickBot="1" x14ac:dyDescent="0.25">
      <c r="A962" s="96"/>
      <c r="B962" s="99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 ht="15.75" thickBot="1" x14ac:dyDescent="0.25">
      <c r="A963" s="96"/>
      <c r="B963" s="99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 ht="15.75" thickBot="1" x14ac:dyDescent="0.25">
      <c r="A964" s="96"/>
      <c r="B964" s="99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 ht="15.75" thickBot="1" x14ac:dyDescent="0.25">
      <c r="A965" s="96"/>
      <c r="B965" s="99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 ht="15.75" thickBot="1" x14ac:dyDescent="0.25">
      <c r="A966" s="96"/>
      <c r="B966" s="99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 ht="15.75" thickBot="1" x14ac:dyDescent="0.25">
      <c r="A967" s="96"/>
      <c r="B967" s="99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 ht="15.75" thickBot="1" x14ac:dyDescent="0.25">
      <c r="A968" s="96"/>
      <c r="B968" s="99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 ht="15.75" thickBot="1" x14ac:dyDescent="0.25">
      <c r="A969" s="96"/>
      <c r="B969" s="99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 ht="15.75" thickBot="1" x14ac:dyDescent="0.25">
      <c r="A970" s="96"/>
      <c r="B970" s="99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 ht="15.75" thickBot="1" x14ac:dyDescent="0.25">
      <c r="A971" s="96"/>
      <c r="B971" s="99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 ht="15.75" thickBot="1" x14ac:dyDescent="0.25">
      <c r="A972" s="96"/>
      <c r="B972" s="99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 ht="15.75" thickBot="1" x14ac:dyDescent="0.25">
      <c r="A973" s="96"/>
      <c r="B973" s="99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 ht="15.75" thickBot="1" x14ac:dyDescent="0.25">
      <c r="A974" s="96"/>
      <c r="B974" s="99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 ht="15.75" thickBot="1" x14ac:dyDescent="0.25">
      <c r="A975" s="96"/>
      <c r="B975" s="99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 ht="15.75" thickBot="1" x14ac:dyDescent="0.25">
      <c r="A976" s="96"/>
      <c r="B976" s="99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 ht="15.75" thickBot="1" x14ac:dyDescent="0.25">
      <c r="A977" s="96"/>
      <c r="B977" s="99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 ht="15.75" thickBot="1" x14ac:dyDescent="0.25">
      <c r="A978" s="96"/>
      <c r="B978" s="99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 ht="15.75" thickBot="1" x14ac:dyDescent="0.25">
      <c r="A979" s="96"/>
      <c r="B979" s="99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 ht="15.75" thickBot="1" x14ac:dyDescent="0.25">
      <c r="A980" s="96"/>
      <c r="B980" s="99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 ht="15.75" thickBot="1" x14ac:dyDescent="0.25">
      <c r="A981" s="96"/>
      <c r="B981" s="99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 ht="15.75" thickBot="1" x14ac:dyDescent="0.25">
      <c r="A982" s="96"/>
      <c r="B982" s="99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 ht="15.75" thickBot="1" x14ac:dyDescent="0.25">
      <c r="A983" s="96"/>
      <c r="B983" s="99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 ht="15.75" thickBot="1" x14ac:dyDescent="0.25">
      <c r="A984" s="96"/>
      <c r="B984" s="99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 ht="15.75" thickBot="1" x14ac:dyDescent="0.25">
      <c r="A985" s="96"/>
      <c r="B985" s="99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 ht="15.75" thickBot="1" x14ac:dyDescent="0.25">
      <c r="A986" s="96"/>
      <c r="B986" s="99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 ht="15.75" thickBot="1" x14ac:dyDescent="0.25">
      <c r="A987" s="96"/>
      <c r="B987" s="99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 ht="15.75" thickBot="1" x14ac:dyDescent="0.25">
      <c r="A988" s="96"/>
      <c r="B988" s="99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 ht="15.75" thickBot="1" x14ac:dyDescent="0.25">
      <c r="A989" s="96"/>
      <c r="B989" s="99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 ht="15.75" thickBot="1" x14ac:dyDescent="0.25">
      <c r="A990" s="96"/>
      <c r="B990" s="99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 ht="15.75" thickBot="1" x14ac:dyDescent="0.25">
      <c r="A991" s="96"/>
      <c r="B991" s="99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 ht="15.75" thickBot="1" x14ac:dyDescent="0.25">
      <c r="A992" s="96"/>
      <c r="B992" s="99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 ht="15.75" thickBot="1" x14ac:dyDescent="0.25">
      <c r="A993" s="96"/>
      <c r="B993" s="99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</sheetData>
  <pageMargins left="0.75" right="0.25" top="0.75" bottom="0.75" header="0.3" footer="0.3"/>
  <pageSetup scale="37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7299-75F7-4B28-A8FB-242E553AA045}">
  <sheetPr>
    <pageSetUpPr fitToPage="1"/>
  </sheetPr>
  <dimension ref="A1:AA1003"/>
  <sheetViews>
    <sheetView topLeftCell="A13" workbookViewId="0">
      <selection activeCell="G27" sqref="G27"/>
    </sheetView>
  </sheetViews>
  <sheetFormatPr defaultRowHeight="15" x14ac:dyDescent="0.2"/>
  <cols>
    <col min="1" max="1" width="33.62890625" bestFit="1" customWidth="1"/>
    <col min="2" max="2" width="47.75390625" customWidth="1"/>
    <col min="3" max="3" width="13.046875" customWidth="1"/>
    <col min="4" max="4" width="32.5546875" customWidth="1"/>
  </cols>
  <sheetData>
    <row r="1" spans="1:27" ht="15.75" thickBot="1" x14ac:dyDescent="0.25">
      <c r="A1" s="147" t="s">
        <v>967</v>
      </c>
      <c r="B1" s="148"/>
      <c r="C1" s="64"/>
      <c r="D1" s="65" t="s">
        <v>38</v>
      </c>
      <c r="E1" s="64"/>
      <c r="F1" s="64"/>
      <c r="G1" s="64"/>
      <c r="H1" s="64"/>
      <c r="I1" s="64"/>
      <c r="J1" s="64"/>
      <c r="K1" s="64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27" ht="15.75" thickBot="1" x14ac:dyDescent="0.25">
      <c r="A2" s="66" t="s">
        <v>7</v>
      </c>
      <c r="B2" s="62" t="s">
        <v>9</v>
      </c>
      <c r="C2" s="62" t="s">
        <v>691</v>
      </c>
      <c r="D2" s="51"/>
      <c r="E2" s="67" t="s">
        <v>1</v>
      </c>
      <c r="F2" s="67" t="s">
        <v>2</v>
      </c>
      <c r="G2" s="67" t="s">
        <v>3</v>
      </c>
      <c r="H2" s="67" t="s">
        <v>4</v>
      </c>
      <c r="I2" s="67" t="s">
        <v>5</v>
      </c>
      <c r="J2" s="67" t="s">
        <v>6</v>
      </c>
      <c r="K2" s="62" t="s">
        <v>692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 spans="1:27" ht="15.75" thickBot="1" x14ac:dyDescent="0.25">
      <c r="A3" s="57" t="s">
        <v>461</v>
      </c>
      <c r="B3" s="51" t="s">
        <v>73</v>
      </c>
      <c r="C3" s="68">
        <v>0.29166666666666669</v>
      </c>
      <c r="D3" s="51" t="s">
        <v>693</v>
      </c>
      <c r="E3" s="51"/>
      <c r="F3" s="51"/>
      <c r="G3" s="51"/>
      <c r="H3" s="51"/>
      <c r="I3" s="51"/>
      <c r="J3" s="60">
        <v>1</v>
      </c>
      <c r="K3" s="51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 spans="1:27" ht="15.75" thickBot="1" x14ac:dyDescent="0.25">
      <c r="A4" s="57" t="s">
        <v>462</v>
      </c>
      <c r="B4" s="51" t="s">
        <v>10</v>
      </c>
      <c r="C4" s="68">
        <v>0.29166666666666669</v>
      </c>
      <c r="D4" s="51" t="s">
        <v>694</v>
      </c>
      <c r="E4" s="51"/>
      <c r="F4" s="51"/>
      <c r="G4" s="51"/>
      <c r="H4" s="51"/>
      <c r="I4" s="51"/>
      <c r="J4" s="60">
        <v>1</v>
      </c>
      <c r="K4" s="51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 spans="1:27" ht="15.75" thickBot="1" x14ac:dyDescent="0.25">
      <c r="A5" s="57" t="s">
        <v>463</v>
      </c>
      <c r="B5" s="51" t="s">
        <v>799</v>
      </c>
      <c r="C5" s="68">
        <v>0.29166666666666669</v>
      </c>
      <c r="D5" s="51" t="s">
        <v>693</v>
      </c>
      <c r="E5" s="51"/>
      <c r="F5" s="51"/>
      <c r="G5" s="51"/>
      <c r="H5" s="51"/>
      <c r="I5" s="60">
        <v>1</v>
      </c>
      <c r="J5" s="51"/>
      <c r="K5" s="51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 spans="1:27" ht="15.75" thickBot="1" x14ac:dyDescent="0.25">
      <c r="A6" s="57" t="s">
        <v>464</v>
      </c>
      <c r="B6" s="51" t="s">
        <v>695</v>
      </c>
      <c r="C6" s="68">
        <v>0.29166666666666669</v>
      </c>
      <c r="D6" s="51" t="s">
        <v>696</v>
      </c>
      <c r="E6" s="51"/>
      <c r="F6" s="51"/>
      <c r="G6" s="51"/>
      <c r="H6" s="51"/>
      <c r="I6" s="60">
        <v>1</v>
      </c>
      <c r="J6" s="51"/>
      <c r="K6" s="51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27" ht="15.75" thickBot="1" x14ac:dyDescent="0.25">
      <c r="A7" s="57" t="s">
        <v>697</v>
      </c>
      <c r="B7" s="51" t="s">
        <v>698</v>
      </c>
      <c r="C7" s="68">
        <v>0.40625</v>
      </c>
      <c r="D7" s="51" t="s">
        <v>699</v>
      </c>
      <c r="E7" s="51"/>
      <c r="F7" s="60">
        <v>1</v>
      </c>
      <c r="G7" s="51"/>
      <c r="H7" s="51"/>
      <c r="I7" s="51"/>
      <c r="J7" s="51"/>
      <c r="K7" s="51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27" ht="15.75" thickBot="1" x14ac:dyDescent="0.25">
      <c r="A8" s="57" t="s">
        <v>700</v>
      </c>
      <c r="B8" s="51" t="s">
        <v>698</v>
      </c>
      <c r="C8" s="68">
        <v>0.40625</v>
      </c>
      <c r="D8" s="51" t="s">
        <v>699</v>
      </c>
      <c r="E8" s="51"/>
      <c r="F8" s="51"/>
      <c r="G8" s="51"/>
      <c r="H8" s="60">
        <v>1</v>
      </c>
      <c r="I8" s="51"/>
      <c r="J8" s="51"/>
      <c r="K8" s="51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27" ht="15.75" thickBot="1" x14ac:dyDescent="0.25">
      <c r="A9" s="57" t="s">
        <v>800</v>
      </c>
      <c r="B9" s="51" t="s">
        <v>798</v>
      </c>
      <c r="C9" s="68">
        <v>0.34375</v>
      </c>
      <c r="D9" s="80" t="s">
        <v>838</v>
      </c>
      <c r="E9" s="51">
        <v>1</v>
      </c>
      <c r="F9" s="51"/>
      <c r="G9" s="51"/>
      <c r="H9" s="60" t="s">
        <v>37</v>
      </c>
      <c r="I9" s="51"/>
      <c r="J9" s="51"/>
      <c r="K9" s="51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27" ht="15.75" thickBot="1" x14ac:dyDescent="0.25">
      <c r="A10" s="57" t="s">
        <v>703</v>
      </c>
      <c r="B10" s="51" t="s">
        <v>798</v>
      </c>
      <c r="C10" s="68">
        <v>0.34375</v>
      </c>
      <c r="D10" s="51" t="s">
        <v>704</v>
      </c>
      <c r="E10" s="51"/>
      <c r="F10" s="51"/>
      <c r="G10" s="51"/>
      <c r="H10" s="51"/>
      <c r="I10" s="60">
        <v>1</v>
      </c>
      <c r="J10" s="51"/>
      <c r="K10" s="51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27" ht="17.25" customHeight="1" thickBot="1" x14ac:dyDescent="0.25">
      <c r="A11" s="113" t="s">
        <v>814</v>
      </c>
      <c r="B11" s="51" t="s">
        <v>835</v>
      </c>
      <c r="C11" s="68">
        <v>0.34375</v>
      </c>
      <c r="D11" s="79" t="s">
        <v>815</v>
      </c>
      <c r="E11" s="51"/>
      <c r="F11" s="51">
        <v>1</v>
      </c>
      <c r="G11" s="51"/>
      <c r="H11" s="51"/>
      <c r="I11" s="60"/>
      <c r="J11" s="51"/>
      <c r="K11" s="51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27" ht="17.25" customHeight="1" thickBot="1" x14ac:dyDescent="0.25">
      <c r="A12" s="6" t="s">
        <v>837</v>
      </c>
      <c r="B12" s="112" t="s">
        <v>835</v>
      </c>
      <c r="C12" s="68">
        <v>0.34375</v>
      </c>
      <c r="D12" s="79" t="s">
        <v>836</v>
      </c>
      <c r="E12" s="51">
        <v>1</v>
      </c>
      <c r="F12" s="51"/>
      <c r="G12" s="51"/>
      <c r="H12" s="51"/>
      <c r="I12" s="60"/>
      <c r="J12" s="51"/>
      <c r="K12" s="51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27" ht="15.75" thickBot="1" x14ac:dyDescent="0.25">
      <c r="A13" s="83" t="s">
        <v>801</v>
      </c>
      <c r="B13" s="112" t="s">
        <v>803</v>
      </c>
      <c r="C13" s="68">
        <v>0.34375</v>
      </c>
      <c r="D13" s="51" t="s">
        <v>802</v>
      </c>
      <c r="E13" s="51"/>
      <c r="F13" s="51">
        <v>1</v>
      </c>
      <c r="G13" s="51"/>
      <c r="H13" s="60">
        <v>1</v>
      </c>
      <c r="I13" s="51"/>
      <c r="J13" s="51"/>
      <c r="K13" s="51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27" ht="15.75" thickBot="1" x14ac:dyDescent="0.25">
      <c r="A14" s="114" t="s">
        <v>49</v>
      </c>
      <c r="B14" s="51" t="s">
        <v>840</v>
      </c>
      <c r="C14" s="68">
        <v>0.30208333333333331</v>
      </c>
      <c r="D14" s="51" t="s">
        <v>709</v>
      </c>
      <c r="E14" s="51"/>
      <c r="F14" s="60">
        <v>1</v>
      </c>
      <c r="G14" s="51"/>
      <c r="H14" s="51"/>
      <c r="I14" s="51"/>
      <c r="J14" s="51"/>
      <c r="K14" s="51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27" ht="15.75" thickBot="1" x14ac:dyDescent="0.25">
      <c r="A15" s="57" t="s">
        <v>726</v>
      </c>
      <c r="B15" s="51" t="s">
        <v>841</v>
      </c>
      <c r="C15" s="68">
        <v>0.30208333333333331</v>
      </c>
      <c r="D15" s="80" t="s">
        <v>709</v>
      </c>
      <c r="E15" s="51"/>
      <c r="F15" s="60"/>
      <c r="G15" s="51">
        <v>1</v>
      </c>
      <c r="H15" s="51"/>
      <c r="I15" s="51"/>
      <c r="J15" s="51"/>
      <c r="K15" s="51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ht="16.5" customHeight="1" thickBot="1" x14ac:dyDescent="0.25">
      <c r="A16" s="57" t="s">
        <v>56</v>
      </c>
      <c r="B16" s="51" t="s">
        <v>795</v>
      </c>
      <c r="C16" s="68">
        <v>0.30208333333333331</v>
      </c>
      <c r="D16" s="51" t="s">
        <v>711</v>
      </c>
      <c r="E16" s="51"/>
      <c r="F16" s="60">
        <v>1</v>
      </c>
      <c r="G16" s="51"/>
      <c r="H16" s="51"/>
      <c r="I16" s="51"/>
      <c r="J16" s="51"/>
      <c r="K16" s="51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27" ht="15.75" thickBot="1" x14ac:dyDescent="0.25">
      <c r="A17" s="57" t="s">
        <v>438</v>
      </c>
      <c r="B17" s="51" t="s">
        <v>712</v>
      </c>
      <c r="C17" s="68">
        <v>0.30208333333333331</v>
      </c>
      <c r="D17" s="51" t="s">
        <v>713</v>
      </c>
      <c r="E17" s="51"/>
      <c r="F17" s="60">
        <v>1</v>
      </c>
      <c r="G17" s="51"/>
      <c r="H17" s="51"/>
      <c r="I17" s="51"/>
      <c r="J17" s="51"/>
      <c r="K17" s="51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spans="1:27" ht="15.75" thickBot="1" x14ac:dyDescent="0.25">
      <c r="A18" s="57" t="s">
        <v>843</v>
      </c>
      <c r="B18" s="51" t="s">
        <v>842</v>
      </c>
      <c r="C18" s="87">
        <v>0.30208333333333331</v>
      </c>
      <c r="D18" s="51"/>
      <c r="E18" s="51"/>
      <c r="F18" s="60"/>
      <c r="G18" s="51"/>
      <c r="H18" s="51"/>
      <c r="I18" s="51"/>
      <c r="J18" s="51"/>
      <c r="K18" s="51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spans="1:27" ht="15.75" thickBot="1" x14ac:dyDescent="0.25">
      <c r="A19" s="57" t="s">
        <v>844</v>
      </c>
      <c r="B19" s="51" t="s">
        <v>842</v>
      </c>
      <c r="C19" s="87">
        <v>0.30208333333333331</v>
      </c>
      <c r="D19" s="51"/>
      <c r="E19" s="51"/>
      <c r="F19" s="60"/>
      <c r="G19" s="51"/>
      <c r="H19" s="51"/>
      <c r="I19" s="51"/>
      <c r="J19" s="51"/>
      <c r="K19" s="51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ht="15.75" thickBot="1" x14ac:dyDescent="0.25">
      <c r="A20" s="57" t="s">
        <v>714</v>
      </c>
      <c r="B20" s="51" t="s">
        <v>794</v>
      </c>
      <c r="C20" s="70">
        <v>0.52083333333333337</v>
      </c>
      <c r="D20" s="51" t="s">
        <v>716</v>
      </c>
      <c r="E20" s="51"/>
      <c r="F20" s="60">
        <v>1</v>
      </c>
      <c r="G20" s="51"/>
      <c r="H20" s="51"/>
      <c r="I20" s="51"/>
      <c r="J20" s="51"/>
      <c r="K20" s="51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27" ht="15.75" thickBot="1" x14ac:dyDescent="0.25">
      <c r="A21" s="57" t="s">
        <v>717</v>
      </c>
      <c r="B21" s="51" t="s">
        <v>794</v>
      </c>
      <c r="C21" s="68">
        <v>0.52083333333333337</v>
      </c>
      <c r="D21" s="51" t="s">
        <v>718</v>
      </c>
      <c r="E21" s="60">
        <v>1</v>
      </c>
      <c r="F21" s="51"/>
      <c r="G21" s="51"/>
      <c r="H21" s="51"/>
      <c r="I21" s="51"/>
      <c r="J21" s="51"/>
      <c r="K21" s="51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27" ht="15.75" thickBot="1" x14ac:dyDescent="0.25">
      <c r="A22" s="57" t="s">
        <v>722</v>
      </c>
      <c r="B22" s="51" t="s">
        <v>723</v>
      </c>
      <c r="C22" s="68">
        <v>0.34375</v>
      </c>
      <c r="D22" s="51" t="s">
        <v>724</v>
      </c>
      <c r="E22" s="51"/>
      <c r="F22" s="51"/>
      <c r="G22" s="60">
        <v>1</v>
      </c>
      <c r="H22" s="51"/>
      <c r="I22" s="51"/>
      <c r="J22" s="51"/>
      <c r="K22" s="51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27" ht="15.75" thickBot="1" x14ac:dyDescent="0.25">
      <c r="A23" s="57" t="s">
        <v>725</v>
      </c>
      <c r="B23" s="51" t="s">
        <v>723</v>
      </c>
      <c r="C23" s="68">
        <v>0.34375</v>
      </c>
      <c r="D23" s="51" t="s">
        <v>724</v>
      </c>
      <c r="E23" s="51"/>
      <c r="F23" s="60">
        <v>1</v>
      </c>
      <c r="G23" s="51"/>
      <c r="H23" s="51"/>
      <c r="I23" s="51"/>
      <c r="J23" s="51"/>
      <c r="K23" s="51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27" ht="15.75" thickBot="1" x14ac:dyDescent="0.25">
      <c r="A24" s="57" t="s">
        <v>796</v>
      </c>
      <c r="B24" s="51" t="s">
        <v>797</v>
      </c>
      <c r="C24" s="68">
        <v>0.29166666666666669</v>
      </c>
      <c r="D24" s="80" t="s">
        <v>839</v>
      </c>
      <c r="E24" s="51"/>
      <c r="F24" s="51">
        <v>1</v>
      </c>
      <c r="G24" s="60" t="s">
        <v>37</v>
      </c>
      <c r="H24" s="51"/>
      <c r="I24" s="51"/>
      <c r="J24" s="51"/>
      <c r="K24" s="51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27" ht="15.75" thickBot="1" x14ac:dyDescent="0.25">
      <c r="A25" s="57" t="s">
        <v>701</v>
      </c>
      <c r="B25" s="51" t="s">
        <v>37</v>
      </c>
      <c r="C25" s="68" t="s">
        <v>37</v>
      </c>
      <c r="D25" s="51"/>
      <c r="E25" s="51"/>
      <c r="F25" s="51"/>
      <c r="G25" s="60">
        <v>1</v>
      </c>
      <c r="H25" s="51"/>
      <c r="I25" s="51"/>
      <c r="J25" s="51"/>
      <c r="K25" s="51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27" ht="15.75" thickBot="1" x14ac:dyDescent="0.25">
      <c r="A26" s="71" t="s">
        <v>469</v>
      </c>
      <c r="B26" s="51"/>
      <c r="C26" s="51"/>
      <c r="D26" s="51"/>
      <c r="E26" s="85">
        <v>0</v>
      </c>
      <c r="F26" s="86">
        <v>2</v>
      </c>
      <c r="G26" s="86">
        <v>3</v>
      </c>
      <c r="H26" s="86">
        <v>6</v>
      </c>
      <c r="I26" s="85">
        <v>2</v>
      </c>
      <c r="J26" s="85">
        <v>1</v>
      </c>
      <c r="K26" s="51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27" ht="15.75" thickBot="1" x14ac:dyDescent="0.2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spans="1:27" ht="15.75" thickBot="1" x14ac:dyDescent="0.25">
      <c r="A28" s="66" t="s">
        <v>24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 spans="1:27" ht="15.75" thickBot="1" x14ac:dyDescent="0.25">
      <c r="A29" s="57" t="s">
        <v>436</v>
      </c>
      <c r="B29" s="51" t="s">
        <v>11</v>
      </c>
      <c r="C29" s="51"/>
      <c r="D29" s="51"/>
      <c r="E29" s="51"/>
      <c r="F29" s="51"/>
      <c r="G29" s="60">
        <v>2</v>
      </c>
      <c r="H29" s="51"/>
      <c r="I29" s="60" t="s">
        <v>37</v>
      </c>
      <c r="J29" s="51"/>
      <c r="K29" s="51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spans="1:27" ht="15.75" thickBot="1" x14ac:dyDescent="0.25">
      <c r="A30" s="57" t="s">
        <v>732</v>
      </c>
      <c r="B30" s="51" t="s">
        <v>11</v>
      </c>
      <c r="C30" s="51"/>
      <c r="D30" s="51"/>
      <c r="E30" s="51"/>
      <c r="F30" s="51"/>
      <c r="G30" s="60">
        <v>1</v>
      </c>
      <c r="H30" s="51"/>
      <c r="I30" s="51"/>
      <c r="J30" s="51"/>
      <c r="K30" s="51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spans="1:27" ht="15.75" thickBot="1" x14ac:dyDescent="0.25">
      <c r="A31" s="57" t="s">
        <v>733</v>
      </c>
      <c r="B31" s="51" t="s">
        <v>11</v>
      </c>
      <c r="C31" s="51"/>
      <c r="D31" s="51"/>
      <c r="E31" s="51"/>
      <c r="F31" s="51"/>
      <c r="G31" s="51"/>
      <c r="H31" s="60">
        <v>1</v>
      </c>
      <c r="I31" s="51"/>
      <c r="J31" s="51"/>
      <c r="K31" s="51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spans="1:27" ht="15.75" thickBot="1" x14ac:dyDescent="0.25">
      <c r="A32" s="57" t="s">
        <v>734</v>
      </c>
      <c r="B32" s="51" t="s">
        <v>11</v>
      </c>
      <c r="C32" s="51"/>
      <c r="D32" s="51"/>
      <c r="E32" s="51"/>
      <c r="F32" s="51"/>
      <c r="G32" s="51"/>
      <c r="H32" s="60">
        <v>1</v>
      </c>
      <c r="I32" s="51"/>
      <c r="J32" s="51"/>
      <c r="K32" s="51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spans="1:27" ht="15.75" thickBot="1" x14ac:dyDescent="0.25">
      <c r="A33" s="57" t="s">
        <v>845</v>
      </c>
      <c r="B33" s="51" t="s">
        <v>846</v>
      </c>
      <c r="C33" s="51"/>
      <c r="D33" s="51"/>
      <c r="E33" s="51">
        <v>1</v>
      </c>
      <c r="F33" s="51"/>
      <c r="G33" s="51"/>
      <c r="H33" s="60"/>
      <c r="I33" s="51"/>
      <c r="J33" s="51"/>
      <c r="K33" s="51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 spans="1:27" ht="15.75" thickBot="1" x14ac:dyDescent="0.25">
      <c r="A34" s="57" t="s">
        <v>847</v>
      </c>
      <c r="B34" s="51" t="s">
        <v>11</v>
      </c>
      <c r="C34" s="51"/>
      <c r="D34" s="51"/>
      <c r="E34" s="60">
        <v>2</v>
      </c>
      <c r="F34" s="51"/>
      <c r="G34" s="51"/>
      <c r="H34" s="51"/>
      <c r="I34" s="51"/>
      <c r="J34" s="51"/>
      <c r="K34" s="51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 spans="1:27" ht="15.75" thickBot="1" x14ac:dyDescent="0.25">
      <c r="A35" s="57" t="s">
        <v>791</v>
      </c>
      <c r="B35" s="51" t="s">
        <v>738</v>
      </c>
      <c r="C35" s="51"/>
      <c r="D35" s="51"/>
      <c r="E35" s="60"/>
      <c r="F35" s="51"/>
      <c r="G35" s="51"/>
      <c r="H35" s="51">
        <v>1</v>
      </c>
      <c r="I35" s="51" t="s">
        <v>37</v>
      </c>
      <c r="J35" s="51"/>
      <c r="K35" s="51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 spans="1:27" ht="15.75" thickBot="1" x14ac:dyDescent="0.25">
      <c r="A36" s="57" t="s">
        <v>736</v>
      </c>
      <c r="B36" s="51" t="s">
        <v>437</v>
      </c>
      <c r="C36" s="51"/>
      <c r="D36" s="51"/>
      <c r="E36" s="51"/>
      <c r="F36" s="51"/>
      <c r="G36" s="60">
        <v>1</v>
      </c>
      <c r="H36" s="51"/>
      <c r="I36" s="51"/>
      <c r="J36" s="51"/>
      <c r="K36" s="51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</row>
    <row r="37" spans="1:27" ht="15.75" thickBot="1" x14ac:dyDescent="0.25">
      <c r="A37" s="57" t="s">
        <v>737</v>
      </c>
      <c r="B37" s="51" t="s">
        <v>738</v>
      </c>
      <c r="C37" s="51"/>
      <c r="D37" s="51"/>
      <c r="E37" s="51"/>
      <c r="F37" s="51"/>
      <c r="G37" s="51"/>
      <c r="H37" s="60">
        <v>2</v>
      </c>
      <c r="I37" s="51"/>
      <c r="J37" s="51"/>
      <c r="K37" s="51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 spans="1:27" ht="15.75" thickBot="1" x14ac:dyDescent="0.25">
      <c r="A38" s="76" t="s">
        <v>793</v>
      </c>
      <c r="B38" s="51" t="s">
        <v>792</v>
      </c>
      <c r="C38" s="51"/>
      <c r="D38" s="51"/>
      <c r="E38" s="51"/>
      <c r="F38" s="60" t="s">
        <v>37</v>
      </c>
      <c r="G38" s="51">
        <v>1</v>
      </c>
      <c r="H38" s="51"/>
      <c r="I38" s="51"/>
      <c r="J38" s="51"/>
      <c r="K38" s="51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 spans="1:27" ht="15.75" thickBot="1" x14ac:dyDescent="0.25">
      <c r="A39" s="57" t="s">
        <v>741</v>
      </c>
      <c r="B39" s="51" t="s">
        <v>11</v>
      </c>
      <c r="C39" s="51"/>
      <c r="D39" s="51"/>
      <c r="E39" s="51"/>
      <c r="F39" s="60">
        <v>1</v>
      </c>
      <c r="G39" s="51"/>
      <c r="H39" s="51"/>
      <c r="I39" s="51"/>
      <c r="J39" s="51"/>
      <c r="K39" s="51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 spans="1:27" ht="15.75" thickBot="1" x14ac:dyDescent="0.25">
      <c r="A40" s="72"/>
      <c r="B40" s="72" t="s">
        <v>58</v>
      </c>
      <c r="C40" s="56"/>
      <c r="D40" s="72"/>
      <c r="E40" s="60">
        <f t="shared" ref="E40:J40" si="0">SUM(E3:E39)</f>
        <v>6</v>
      </c>
      <c r="F40" s="60">
        <f t="shared" si="0"/>
        <v>12</v>
      </c>
      <c r="G40" s="60">
        <f t="shared" si="0"/>
        <v>11</v>
      </c>
      <c r="H40" s="60">
        <v>13</v>
      </c>
      <c r="I40" s="60">
        <v>5</v>
      </c>
      <c r="J40" s="60">
        <f t="shared" si="0"/>
        <v>3</v>
      </c>
      <c r="K40" s="60">
        <f>SUM(E40:J40)</f>
        <v>50</v>
      </c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 spans="1:27" ht="15.75" thickBot="1" x14ac:dyDescent="0.25">
      <c r="A41" s="56"/>
      <c r="B41" s="56"/>
      <c r="C41" s="56"/>
      <c r="D41" s="72"/>
      <c r="E41" s="67" t="s">
        <v>1</v>
      </c>
      <c r="F41" s="67" t="s">
        <v>2</v>
      </c>
      <c r="G41" s="67" t="s">
        <v>3</v>
      </c>
      <c r="H41" s="67" t="s">
        <v>4</v>
      </c>
      <c r="I41" s="67" t="s">
        <v>5</v>
      </c>
      <c r="J41" s="67" t="s">
        <v>6</v>
      </c>
      <c r="K41" s="62" t="s">
        <v>743</v>
      </c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 spans="1:27" ht="15.75" thickBot="1" x14ac:dyDescent="0.25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 spans="1:27" ht="15.75" thickBot="1" x14ac:dyDescent="0.25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spans="1:27" ht="15.75" thickBot="1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 spans="1:27" ht="15.75" thickBot="1" x14ac:dyDescent="0.2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spans="1:27" ht="15.75" thickBot="1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spans="1:27" ht="15.75" thickBot="1" x14ac:dyDescent="0.25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 spans="1:27" ht="15.75" thickBot="1" x14ac:dyDescent="0.25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 spans="1:27" ht="15.75" thickBot="1" x14ac:dyDescent="0.25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 spans="1:27" ht="15.75" thickBot="1" x14ac:dyDescent="0.25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 spans="1:27" ht="15.75" thickBot="1" x14ac:dyDescent="0.25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 spans="1:27" ht="15.75" thickBot="1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 spans="1:27" ht="15.75" thickBot="1" x14ac:dyDescent="0.2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 spans="1:27" ht="15.75" thickBot="1" x14ac:dyDescent="0.25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 spans="1:27" ht="15.75" thickBot="1" x14ac:dyDescent="0.2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1:27" ht="15.75" thickBot="1" x14ac:dyDescent="0.25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 spans="1:27" ht="15.75" thickBot="1" x14ac:dyDescent="0.25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 spans="1:27" ht="15.75" thickBot="1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 spans="1:27" ht="15.75" thickBot="1" x14ac:dyDescent="0.2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 spans="1:27" ht="15.75" thickBot="1" x14ac:dyDescent="0.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 spans="1:27" ht="15.75" thickBot="1" x14ac:dyDescent="0.2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 spans="1:27" ht="15.75" thickBot="1" x14ac:dyDescent="0.2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 spans="1:27" ht="15.75" thickBot="1" x14ac:dyDescent="0.25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 spans="1:27" ht="15.75" thickBot="1" x14ac:dyDescent="0.25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ht="15.75" thickBot="1" x14ac:dyDescent="0.2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 spans="1:27" ht="15.75" thickBot="1" x14ac:dyDescent="0.2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spans="1:27" ht="15.75" thickBot="1" x14ac:dyDescent="0.25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 spans="1:27" ht="15.75" thickBot="1" x14ac:dyDescent="0.25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 spans="1:27" ht="15.75" thickBot="1" x14ac:dyDescent="0.2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 spans="1:27" ht="15.75" thickBot="1" x14ac:dyDescent="0.25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 spans="1:27" ht="15.75" thickBot="1" x14ac:dyDescent="0.2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 spans="1:27" ht="15.75" thickBot="1" x14ac:dyDescent="0.25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 spans="1:27" ht="15.75" thickBot="1" x14ac:dyDescent="0.25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 spans="1:27" ht="15.75" thickBot="1" x14ac:dyDescent="0.25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 spans="1:27" ht="15.75" thickBot="1" x14ac:dyDescent="0.2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 spans="1:27" ht="15.75" thickBot="1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 spans="1:27" ht="15.75" thickBot="1" x14ac:dyDescent="0.2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 spans="1:27" ht="15.75" thickBot="1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 spans="1:27" ht="15.75" thickBot="1" x14ac:dyDescent="0.2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 spans="1:27" ht="15.75" thickBot="1" x14ac:dyDescent="0.25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 spans="1:27" ht="15.75" thickBot="1" x14ac:dyDescent="0.2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 spans="1:27" ht="15.75" thickBot="1" x14ac:dyDescent="0.25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 spans="1:27" ht="15.75" thickBot="1" x14ac:dyDescent="0.25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 spans="1:27" ht="15.75" thickBot="1" x14ac:dyDescent="0.25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 spans="1:27" ht="15.75" thickBot="1" x14ac:dyDescent="0.2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 spans="1:27" ht="15.75" thickBot="1" x14ac:dyDescent="0.25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 spans="1:27" ht="15.75" thickBot="1" x14ac:dyDescent="0.25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 spans="1:27" ht="15.75" thickBot="1" x14ac:dyDescent="0.25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 spans="1:27" ht="15.75" thickBot="1" x14ac:dyDescent="0.25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 spans="1:27" ht="15.75" thickBot="1" x14ac:dyDescent="0.25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 spans="1:27" ht="15.75" thickBot="1" x14ac:dyDescent="0.2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</row>
    <row r="92" spans="1:27" ht="15.75" thickBot="1" x14ac:dyDescent="0.2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ht="15.75" thickBot="1" x14ac:dyDescent="0.2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 spans="1:27" ht="15.75" thickBot="1" x14ac:dyDescent="0.2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</row>
    <row r="95" spans="1:27" ht="15.75" thickBot="1" x14ac:dyDescent="0.2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</row>
    <row r="96" spans="1:27" ht="15.75" thickBot="1" x14ac:dyDescent="0.2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</row>
    <row r="97" spans="1:27" ht="15.75" thickBot="1" x14ac:dyDescent="0.2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 spans="1:27" ht="15.75" thickBot="1" x14ac:dyDescent="0.2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</row>
    <row r="99" spans="1:27" ht="15.75" thickBot="1" x14ac:dyDescent="0.2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</row>
    <row r="100" spans="1:27" ht="15.75" thickBot="1" x14ac:dyDescent="0.2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</row>
    <row r="101" spans="1:27" ht="15.75" thickBot="1" x14ac:dyDescent="0.2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 spans="1:27" ht="15.75" thickBot="1" x14ac:dyDescent="0.2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</row>
    <row r="103" spans="1:27" ht="15.75" thickBot="1" x14ac:dyDescent="0.2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</row>
    <row r="104" spans="1:27" ht="15.75" thickBot="1" x14ac:dyDescent="0.2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</row>
    <row r="105" spans="1:27" ht="15.75" thickBot="1" x14ac:dyDescent="0.2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 spans="1:27" ht="15.75" thickBot="1" x14ac:dyDescent="0.2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 spans="1:27" ht="15.75" thickBot="1" x14ac:dyDescent="0.2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 spans="1:27" ht="15.75" thickBot="1" x14ac:dyDescent="0.2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 spans="1:27" ht="15.75" thickBot="1" x14ac:dyDescent="0.2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 spans="1:27" ht="15.75" thickBot="1" x14ac:dyDescent="0.2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 spans="1:27" ht="15.75" thickBot="1" x14ac:dyDescent="0.2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 spans="1:27" ht="15.75" thickBot="1" x14ac:dyDescent="0.2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 spans="1:27" ht="15.75" thickBot="1" x14ac:dyDescent="0.2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</row>
    <row r="114" spans="1:27" ht="15.75" thickBot="1" x14ac:dyDescent="0.2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 spans="1:27" ht="15.75" thickBot="1" x14ac:dyDescent="0.2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</row>
    <row r="116" spans="1:27" ht="15.75" thickBot="1" x14ac:dyDescent="0.2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</row>
    <row r="117" spans="1:27" ht="15.75" thickBot="1" x14ac:dyDescent="0.2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</row>
    <row r="118" spans="1:27" ht="15.75" thickBot="1" x14ac:dyDescent="0.2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</row>
    <row r="119" spans="1:27" ht="15.75" thickBot="1" x14ac:dyDescent="0.2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 spans="1:27" ht="15.75" thickBot="1" x14ac:dyDescent="0.2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 spans="1:27" ht="15.75" thickBot="1" x14ac:dyDescent="0.2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 spans="1:27" ht="15.75" thickBot="1" x14ac:dyDescent="0.2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 spans="1:27" ht="15.75" thickBot="1" x14ac:dyDescent="0.2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 spans="1:27" ht="15.75" thickBot="1" x14ac:dyDescent="0.2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 spans="1:27" ht="15.75" thickBot="1" x14ac:dyDescent="0.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 spans="1:27" ht="15.75" thickBot="1" x14ac:dyDescent="0.2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 spans="1:27" ht="15.75" thickBot="1" x14ac:dyDescent="0.2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 spans="1:27" ht="15.75" thickBot="1" x14ac:dyDescent="0.2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 spans="1:27" ht="15.75" thickBot="1" x14ac:dyDescent="0.2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 spans="1:27" ht="15.75" thickBot="1" x14ac:dyDescent="0.2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 spans="1:27" ht="15.75" thickBot="1" x14ac:dyDescent="0.2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 spans="1:27" ht="15.75" thickBot="1" x14ac:dyDescent="0.2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 spans="1:27" ht="15.75" thickBot="1" x14ac:dyDescent="0.2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 spans="1:27" ht="15.75" thickBot="1" x14ac:dyDescent="0.2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 spans="1:27" ht="15.75" thickBot="1" x14ac:dyDescent="0.2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 spans="1:27" ht="15.75" thickBot="1" x14ac:dyDescent="0.2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 spans="1:27" ht="15.75" thickBot="1" x14ac:dyDescent="0.2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 spans="1:27" ht="15.75" thickBot="1" x14ac:dyDescent="0.2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 spans="1:27" ht="15.75" thickBot="1" x14ac:dyDescent="0.2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 spans="1:27" ht="15.75" thickBot="1" x14ac:dyDescent="0.2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 spans="1:27" ht="15.75" thickBot="1" x14ac:dyDescent="0.2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 spans="1:27" ht="15.75" thickBot="1" x14ac:dyDescent="0.2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 spans="1:27" ht="15.75" thickBot="1" x14ac:dyDescent="0.2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 spans="1:27" ht="15.75" thickBot="1" x14ac:dyDescent="0.2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 spans="1:27" ht="15.75" thickBot="1" x14ac:dyDescent="0.2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 spans="1:27" ht="15.75" thickBot="1" x14ac:dyDescent="0.2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 spans="1:27" ht="15.75" thickBot="1" x14ac:dyDescent="0.2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 spans="1:27" ht="15.75" thickBot="1" x14ac:dyDescent="0.2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 spans="1:27" ht="15.75" thickBot="1" x14ac:dyDescent="0.2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 spans="1:27" ht="15.75" thickBot="1" x14ac:dyDescent="0.2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</row>
    <row r="151" spans="1:27" ht="15.75" thickBot="1" x14ac:dyDescent="0.2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</row>
    <row r="152" spans="1:27" ht="15.75" thickBot="1" x14ac:dyDescent="0.2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</row>
    <row r="153" spans="1:27" ht="15.75" thickBot="1" x14ac:dyDescent="0.2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</row>
    <row r="154" spans="1:27" ht="15.75" thickBot="1" x14ac:dyDescent="0.2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</row>
    <row r="155" spans="1:27" ht="15.75" thickBot="1" x14ac:dyDescent="0.2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 spans="1:27" ht="15.75" thickBot="1" x14ac:dyDescent="0.2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</row>
    <row r="157" spans="1:27" ht="15.75" thickBot="1" x14ac:dyDescent="0.2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</row>
    <row r="158" spans="1:27" ht="15.75" thickBot="1" x14ac:dyDescent="0.2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</row>
    <row r="159" spans="1:27" ht="15.75" thickBot="1" x14ac:dyDescent="0.2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 spans="1:27" ht="15.75" thickBot="1" x14ac:dyDescent="0.2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 spans="1:27" ht="15.75" thickBot="1" x14ac:dyDescent="0.2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</row>
    <row r="162" spans="1:27" ht="15.75" thickBot="1" x14ac:dyDescent="0.2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</row>
    <row r="163" spans="1:27" ht="15.75" thickBot="1" x14ac:dyDescent="0.2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</row>
    <row r="164" spans="1:27" ht="15.75" thickBot="1" x14ac:dyDescent="0.2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 spans="1:27" ht="15.75" thickBot="1" x14ac:dyDescent="0.2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 spans="1:27" ht="15.75" thickBot="1" x14ac:dyDescent="0.2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</row>
    <row r="167" spans="1:27" ht="15.75" thickBot="1" x14ac:dyDescent="0.2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 spans="1:27" ht="15.75" thickBot="1" x14ac:dyDescent="0.2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</row>
    <row r="169" spans="1:27" ht="15.75" thickBot="1" x14ac:dyDescent="0.2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 spans="1:27" ht="15.75" thickBot="1" x14ac:dyDescent="0.2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</row>
    <row r="171" spans="1:27" ht="15.75" thickBot="1" x14ac:dyDescent="0.2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 spans="1:27" ht="15.75" thickBot="1" x14ac:dyDescent="0.2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</row>
    <row r="173" spans="1:27" ht="15.75" thickBot="1" x14ac:dyDescent="0.2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</row>
    <row r="174" spans="1:27" ht="15.75" thickBot="1" x14ac:dyDescent="0.2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</row>
    <row r="175" spans="1:27" ht="15.75" thickBot="1" x14ac:dyDescent="0.2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 spans="1:27" ht="15.75" thickBot="1" x14ac:dyDescent="0.2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</row>
    <row r="177" spans="1:27" ht="15.75" thickBot="1" x14ac:dyDescent="0.2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</row>
    <row r="178" spans="1:27" ht="15.75" thickBot="1" x14ac:dyDescent="0.2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 spans="1:27" ht="15.75" thickBot="1" x14ac:dyDescent="0.2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</row>
    <row r="180" spans="1:27" ht="15.75" thickBot="1" x14ac:dyDescent="0.2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 spans="1:27" ht="15.75" thickBot="1" x14ac:dyDescent="0.2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</row>
    <row r="182" spans="1:27" ht="15.75" thickBot="1" x14ac:dyDescent="0.2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</row>
    <row r="183" spans="1:27" ht="15.75" thickBot="1" x14ac:dyDescent="0.2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</row>
    <row r="184" spans="1:27" ht="15.75" thickBot="1" x14ac:dyDescent="0.2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</row>
    <row r="185" spans="1:27" ht="15.75" thickBot="1" x14ac:dyDescent="0.2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</row>
    <row r="186" spans="1:27" ht="15.75" thickBot="1" x14ac:dyDescent="0.2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 spans="1:27" ht="15.75" thickBot="1" x14ac:dyDescent="0.2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</row>
    <row r="188" spans="1:27" ht="15.75" thickBot="1" x14ac:dyDescent="0.2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</row>
    <row r="189" spans="1:27" ht="15.75" thickBot="1" x14ac:dyDescent="0.2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 spans="1:27" ht="15.75" thickBot="1" x14ac:dyDescent="0.2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 spans="1:27" ht="15.75" thickBot="1" x14ac:dyDescent="0.2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</row>
    <row r="192" spans="1:27" ht="15.75" thickBot="1" x14ac:dyDescent="0.2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</row>
    <row r="193" spans="1:27" ht="15.75" thickBot="1" x14ac:dyDescent="0.25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 spans="1:27" ht="15.75" thickBot="1" x14ac:dyDescent="0.25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</row>
    <row r="195" spans="1:27" ht="15.75" thickBot="1" x14ac:dyDescent="0.2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 spans="1:27" ht="15.75" thickBot="1" x14ac:dyDescent="0.25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 spans="1:27" ht="15.75" thickBot="1" x14ac:dyDescent="0.25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</row>
    <row r="198" spans="1:27" ht="15.75" thickBot="1" x14ac:dyDescent="0.2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</row>
    <row r="199" spans="1:27" ht="15.75" thickBot="1" x14ac:dyDescent="0.25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</row>
    <row r="200" spans="1:27" ht="15.75" thickBot="1" x14ac:dyDescent="0.25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</row>
    <row r="201" spans="1:27" ht="15.75" thickBot="1" x14ac:dyDescent="0.25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</row>
    <row r="202" spans="1:27" ht="15.75" thickBot="1" x14ac:dyDescent="0.25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 spans="1:27" ht="15.75" thickBot="1" x14ac:dyDescent="0.25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</row>
    <row r="204" spans="1:27" ht="15.75" thickBot="1" x14ac:dyDescent="0.25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 spans="1:27" ht="15.75" thickBot="1" x14ac:dyDescent="0.2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</row>
    <row r="206" spans="1:27" ht="15.75" thickBot="1" x14ac:dyDescent="0.25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 spans="1:27" ht="15.75" thickBot="1" x14ac:dyDescent="0.25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</row>
    <row r="208" spans="1:27" ht="15.75" thickBot="1" x14ac:dyDescent="0.25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</row>
    <row r="209" spans="1:27" ht="15.75" thickBot="1" x14ac:dyDescent="0.25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 spans="1:27" ht="15.75" thickBot="1" x14ac:dyDescent="0.2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 spans="1:27" ht="15.75" thickBot="1" x14ac:dyDescent="0.2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</row>
    <row r="212" spans="1:27" ht="15.75" thickBot="1" x14ac:dyDescent="0.25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</row>
    <row r="213" spans="1:27" ht="15.75" thickBot="1" x14ac:dyDescent="0.25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</row>
    <row r="214" spans="1:27" ht="15.75" thickBot="1" x14ac:dyDescent="0.25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</row>
    <row r="215" spans="1:27" ht="15.75" thickBot="1" x14ac:dyDescent="0.2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</row>
    <row r="216" spans="1:27" ht="15.75" thickBot="1" x14ac:dyDescent="0.25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</row>
    <row r="217" spans="1:27" ht="15.75" thickBot="1" x14ac:dyDescent="0.2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</row>
    <row r="218" spans="1:27" ht="15.75" thickBot="1" x14ac:dyDescent="0.25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 spans="1:27" ht="15.75" thickBot="1" x14ac:dyDescent="0.25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</row>
    <row r="220" spans="1:27" ht="15.75" thickBot="1" x14ac:dyDescent="0.25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</row>
    <row r="221" spans="1:27" ht="15.75" thickBot="1" x14ac:dyDescent="0.25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</row>
    <row r="222" spans="1:27" ht="15.75" thickBot="1" x14ac:dyDescent="0.25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</row>
    <row r="223" spans="1:27" ht="15.75" thickBot="1" x14ac:dyDescent="0.25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 spans="1:27" ht="15.75" thickBot="1" x14ac:dyDescent="0.25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 spans="1:27" ht="15.75" thickBot="1" x14ac:dyDescent="0.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 spans="1:27" ht="15.75" thickBot="1" x14ac:dyDescent="0.25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 spans="1:27" ht="15.75" thickBot="1" x14ac:dyDescent="0.25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 spans="1:27" ht="15.75" thickBot="1" x14ac:dyDescent="0.25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 spans="1:27" ht="15.75" thickBot="1" x14ac:dyDescent="0.25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 spans="1:27" ht="15.75" thickBot="1" x14ac:dyDescent="0.25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 spans="1:27" ht="15.75" thickBot="1" x14ac:dyDescent="0.25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 spans="1:27" ht="15.75" thickBot="1" x14ac:dyDescent="0.25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 spans="1:27" ht="15.75" thickBot="1" x14ac:dyDescent="0.2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 spans="1:27" ht="15.75" thickBot="1" x14ac:dyDescent="0.2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 spans="1:27" ht="15.75" thickBot="1" x14ac:dyDescent="0.2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 spans="1:27" ht="15.75" thickBot="1" x14ac:dyDescent="0.25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 spans="1:27" ht="15.75" thickBot="1" x14ac:dyDescent="0.25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 spans="1:27" ht="15.75" thickBot="1" x14ac:dyDescent="0.25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 spans="1:27" ht="15.75" thickBot="1" x14ac:dyDescent="0.25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 spans="1:27" ht="15.75" thickBot="1" x14ac:dyDescent="0.25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 spans="1:27" ht="15.75" thickBot="1" x14ac:dyDescent="0.25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 spans="1:27" ht="15.75" thickBot="1" x14ac:dyDescent="0.25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 spans="1:27" ht="15.75" thickBot="1" x14ac:dyDescent="0.25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 spans="1:27" ht="15.75" thickBot="1" x14ac:dyDescent="0.25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 spans="1:27" ht="15.75" thickBot="1" x14ac:dyDescent="0.2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 spans="1:27" ht="15.75" thickBot="1" x14ac:dyDescent="0.25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 spans="1:27" ht="15.75" thickBot="1" x14ac:dyDescent="0.25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 spans="1:27" ht="15.75" thickBot="1" x14ac:dyDescent="0.25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 spans="1:27" ht="15.75" thickBot="1" x14ac:dyDescent="0.25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 spans="1:27" ht="15.75" thickBot="1" x14ac:dyDescent="0.25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 spans="1:27" ht="15.75" thickBot="1" x14ac:dyDescent="0.25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 spans="1:27" ht="15.75" thickBot="1" x14ac:dyDescent="0.25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 spans="1:27" ht="15.75" thickBot="1" x14ac:dyDescent="0.25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 spans="1:27" ht="15.75" thickBot="1" x14ac:dyDescent="0.25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 spans="1:27" ht="15.75" thickBot="1" x14ac:dyDescent="0.2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 spans="1:27" ht="15.75" thickBot="1" x14ac:dyDescent="0.25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 spans="1:27" ht="15.75" thickBot="1" x14ac:dyDescent="0.25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 spans="1:27" ht="15.75" thickBot="1" x14ac:dyDescent="0.25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 spans="1:27" ht="15.75" thickBot="1" x14ac:dyDescent="0.25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 spans="1:27" ht="15.75" thickBot="1" x14ac:dyDescent="0.25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 spans="1:27" ht="15.75" thickBot="1" x14ac:dyDescent="0.25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 spans="1:27" ht="15.75" thickBot="1" x14ac:dyDescent="0.25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 spans="1:27" ht="15.75" thickBot="1" x14ac:dyDescent="0.25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 spans="1:27" ht="15.75" thickBot="1" x14ac:dyDescent="0.25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 spans="1:27" ht="15.75" thickBot="1" x14ac:dyDescent="0.2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 spans="1:27" ht="15.75" thickBot="1" x14ac:dyDescent="0.25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 spans="1:27" ht="15.75" thickBot="1" x14ac:dyDescent="0.25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 spans="1:27" ht="15.75" thickBot="1" x14ac:dyDescent="0.25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 spans="1:27" ht="15.75" thickBot="1" x14ac:dyDescent="0.25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 spans="1:27" ht="15.75" thickBot="1" x14ac:dyDescent="0.25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 spans="1:27" ht="15.75" thickBot="1" x14ac:dyDescent="0.25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 spans="1:27" ht="15.75" thickBot="1" x14ac:dyDescent="0.25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 spans="1:27" ht="15.75" thickBot="1" x14ac:dyDescent="0.25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 spans="1:27" ht="15.75" thickBot="1" x14ac:dyDescent="0.25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 spans="1:27" ht="15.75" thickBot="1" x14ac:dyDescent="0.2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 spans="1:27" ht="15.75" thickBot="1" x14ac:dyDescent="0.25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 spans="1:27" ht="15.75" thickBot="1" x14ac:dyDescent="0.25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 spans="1:27" ht="15.75" thickBot="1" x14ac:dyDescent="0.25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 spans="1:27" ht="15.75" thickBot="1" x14ac:dyDescent="0.25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 spans="1:27" ht="15.75" thickBot="1" x14ac:dyDescent="0.25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 spans="1:27" ht="15.75" thickBot="1" x14ac:dyDescent="0.25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 spans="1:27" ht="15.75" thickBot="1" x14ac:dyDescent="0.25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 spans="1:27" ht="15.75" thickBot="1" x14ac:dyDescent="0.25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 spans="1:27" ht="15.75" thickBot="1" x14ac:dyDescent="0.25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 spans="1:27" ht="15.75" thickBot="1" x14ac:dyDescent="0.2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 spans="1:27" ht="15.75" thickBot="1" x14ac:dyDescent="0.25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 spans="1:27" ht="15.75" thickBot="1" x14ac:dyDescent="0.25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 spans="1:27" ht="15.75" thickBot="1" x14ac:dyDescent="0.25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 spans="1:27" ht="15.75" thickBot="1" x14ac:dyDescent="0.25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 spans="1:27" ht="15.75" thickBot="1" x14ac:dyDescent="0.25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 spans="1:27" ht="15.75" thickBot="1" x14ac:dyDescent="0.25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 spans="1:27" ht="15.75" thickBot="1" x14ac:dyDescent="0.25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 spans="1:27" ht="15.75" thickBot="1" x14ac:dyDescent="0.25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 spans="1:27" ht="15.75" thickBot="1" x14ac:dyDescent="0.25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 spans="1:27" ht="15.75" thickBot="1" x14ac:dyDescent="0.2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 spans="1:27" ht="15.75" thickBot="1" x14ac:dyDescent="0.25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 spans="1:27" ht="15.75" thickBot="1" x14ac:dyDescent="0.25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 spans="1:27" ht="15.75" thickBot="1" x14ac:dyDescent="0.25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 spans="1:27" ht="15.75" thickBot="1" x14ac:dyDescent="0.25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 spans="1:27" ht="15.75" thickBot="1" x14ac:dyDescent="0.25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 spans="1:27" ht="15.75" thickBot="1" x14ac:dyDescent="0.25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 spans="1:27" ht="15.75" thickBot="1" x14ac:dyDescent="0.25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 spans="1:27" ht="15.75" thickBot="1" x14ac:dyDescent="0.25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 spans="1:27" ht="15.75" thickBot="1" x14ac:dyDescent="0.25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 spans="1:27" ht="15.75" thickBot="1" x14ac:dyDescent="0.2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 spans="1:27" ht="15.75" thickBot="1" x14ac:dyDescent="0.25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 spans="1:27" ht="15.75" thickBot="1" x14ac:dyDescent="0.25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 spans="1:27" ht="15.75" thickBot="1" x14ac:dyDescent="0.25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 spans="1:27" ht="15.75" thickBot="1" x14ac:dyDescent="0.25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 spans="1:27" ht="15.75" thickBot="1" x14ac:dyDescent="0.25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 spans="1:27" ht="15.75" thickBot="1" x14ac:dyDescent="0.25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 spans="1:27" ht="15.75" thickBot="1" x14ac:dyDescent="0.25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 spans="1:27" ht="15.75" thickBot="1" x14ac:dyDescent="0.25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 spans="1:27" ht="15.75" thickBot="1" x14ac:dyDescent="0.25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 spans="1:27" ht="15.75" thickBot="1" x14ac:dyDescent="0.2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 spans="1:27" ht="15.75" thickBot="1" x14ac:dyDescent="0.25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 spans="1:27" ht="15.75" thickBot="1" x14ac:dyDescent="0.25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 spans="1:27" ht="15.75" thickBot="1" x14ac:dyDescent="0.25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 spans="1:27" ht="15.75" thickBot="1" x14ac:dyDescent="0.25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 spans="1:27" ht="15.75" thickBot="1" x14ac:dyDescent="0.25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 spans="1:27" ht="15.75" thickBot="1" x14ac:dyDescent="0.25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 spans="1:27" ht="15.75" thickBot="1" x14ac:dyDescent="0.25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 spans="1:27" ht="15.75" thickBot="1" x14ac:dyDescent="0.25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 spans="1:27" ht="15.75" thickBot="1" x14ac:dyDescent="0.25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 spans="1:27" ht="15.75" thickBot="1" x14ac:dyDescent="0.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 spans="1:27" ht="15.75" thickBot="1" x14ac:dyDescent="0.25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 spans="1:27" ht="15.75" thickBot="1" x14ac:dyDescent="0.2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 spans="1:27" ht="15.75" thickBot="1" x14ac:dyDescent="0.25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 spans="1:27" ht="15.75" thickBot="1" x14ac:dyDescent="0.25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 spans="1:27" ht="15.75" thickBot="1" x14ac:dyDescent="0.25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 spans="1:27" ht="15.75" thickBot="1" x14ac:dyDescent="0.25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 spans="1:27" ht="15.75" thickBot="1" x14ac:dyDescent="0.25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 spans="1:27" ht="15.75" thickBot="1" x14ac:dyDescent="0.25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 spans="1:27" ht="15.75" thickBot="1" x14ac:dyDescent="0.25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 spans="1:27" ht="15.75" thickBot="1" x14ac:dyDescent="0.2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 spans="1:27" ht="15.75" thickBot="1" x14ac:dyDescent="0.25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 spans="1:27" ht="15.75" thickBot="1" x14ac:dyDescent="0.25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 spans="1:27" ht="15.75" thickBot="1" x14ac:dyDescent="0.25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 spans="1:27" ht="15.75" thickBot="1" x14ac:dyDescent="0.25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 spans="1:27" ht="15.75" thickBot="1" x14ac:dyDescent="0.25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 spans="1:27" ht="15.75" thickBot="1" x14ac:dyDescent="0.25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 spans="1:27" ht="15.75" thickBot="1" x14ac:dyDescent="0.25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 spans="1:27" ht="15.75" thickBot="1" x14ac:dyDescent="0.25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 spans="1:27" ht="15.75" thickBot="1" x14ac:dyDescent="0.25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 spans="1:27" ht="15.75" thickBot="1" x14ac:dyDescent="0.2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 spans="1:27" ht="15.75" thickBot="1" x14ac:dyDescent="0.25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 spans="1:27" ht="15.75" thickBot="1" x14ac:dyDescent="0.25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 spans="1:27" ht="15.75" thickBot="1" x14ac:dyDescent="0.25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 spans="1:27" ht="15.75" thickBot="1" x14ac:dyDescent="0.25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 spans="1:27" ht="15.75" thickBot="1" x14ac:dyDescent="0.25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 spans="1:27" ht="15.75" thickBot="1" x14ac:dyDescent="0.25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 spans="1:27" ht="15.75" thickBot="1" x14ac:dyDescent="0.25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 spans="1:27" ht="15.75" thickBot="1" x14ac:dyDescent="0.25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 spans="1:27" ht="15.75" thickBot="1" x14ac:dyDescent="0.25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 spans="1:27" ht="15.75" thickBot="1" x14ac:dyDescent="0.2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 spans="1:27" ht="15.75" thickBot="1" x14ac:dyDescent="0.25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 spans="1:27" ht="15.75" thickBot="1" x14ac:dyDescent="0.25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 spans="1:27" ht="15.75" thickBot="1" x14ac:dyDescent="0.25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 spans="1:27" ht="15.75" thickBot="1" x14ac:dyDescent="0.25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 spans="1:27" ht="15.75" thickBot="1" x14ac:dyDescent="0.25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 spans="1:27" ht="15.75" thickBot="1" x14ac:dyDescent="0.25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 spans="1:27" ht="15.75" thickBot="1" x14ac:dyDescent="0.25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 spans="1:27" ht="15.75" thickBot="1" x14ac:dyDescent="0.25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 spans="1:27" ht="15.75" thickBot="1" x14ac:dyDescent="0.25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 spans="1:27" ht="15.75" thickBot="1" x14ac:dyDescent="0.2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 spans="1:27" ht="15.75" thickBot="1" x14ac:dyDescent="0.25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 spans="1:27" ht="15.75" thickBot="1" x14ac:dyDescent="0.25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 spans="1:27" ht="15.75" thickBot="1" x14ac:dyDescent="0.25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 spans="1:27" ht="15.75" thickBot="1" x14ac:dyDescent="0.25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 spans="1:27" ht="15.75" thickBot="1" x14ac:dyDescent="0.25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 spans="1:27" ht="15.75" thickBot="1" x14ac:dyDescent="0.25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 spans="1:27" ht="15.75" thickBot="1" x14ac:dyDescent="0.25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 spans="1:27" ht="15.75" thickBot="1" x14ac:dyDescent="0.25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 spans="1:27" ht="15.75" thickBot="1" x14ac:dyDescent="0.25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 spans="1:27" ht="15.75" thickBot="1" x14ac:dyDescent="0.2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 spans="1:27" ht="15.75" thickBot="1" x14ac:dyDescent="0.25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 spans="1:27" ht="15.75" thickBot="1" x14ac:dyDescent="0.25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 spans="1:27" ht="15.75" thickBot="1" x14ac:dyDescent="0.25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 spans="1:27" ht="15.75" thickBot="1" x14ac:dyDescent="0.25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 spans="1:27" ht="15.75" thickBot="1" x14ac:dyDescent="0.25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 spans="1:27" ht="15.75" thickBot="1" x14ac:dyDescent="0.25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 spans="1:27" ht="15.75" thickBot="1" x14ac:dyDescent="0.25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 spans="1:27" ht="15.75" thickBot="1" x14ac:dyDescent="0.25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 spans="1:27" ht="15.75" thickBot="1" x14ac:dyDescent="0.25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 spans="1:27" ht="15.75" thickBot="1" x14ac:dyDescent="0.2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 spans="1:27" ht="15.75" thickBot="1" x14ac:dyDescent="0.25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 spans="1:27" ht="15.75" thickBot="1" x14ac:dyDescent="0.25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 spans="1:27" ht="15.75" thickBot="1" x14ac:dyDescent="0.25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 spans="1:27" ht="15.75" thickBot="1" x14ac:dyDescent="0.25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 spans="1:27" ht="15.75" thickBot="1" x14ac:dyDescent="0.25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 spans="1:27" ht="15.75" thickBot="1" x14ac:dyDescent="0.25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 spans="1:27" ht="15.75" thickBot="1" x14ac:dyDescent="0.25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 spans="1:27" ht="15.75" thickBot="1" x14ac:dyDescent="0.25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 spans="1:27" ht="15.75" thickBot="1" x14ac:dyDescent="0.25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 spans="1:27" ht="15.75" thickBot="1" x14ac:dyDescent="0.2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 spans="1:27" ht="15.75" thickBot="1" x14ac:dyDescent="0.25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 spans="1:27" ht="15.75" thickBot="1" x14ac:dyDescent="0.25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 spans="1:27" ht="15.75" thickBot="1" x14ac:dyDescent="0.25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 spans="1:27" ht="15.75" thickBot="1" x14ac:dyDescent="0.25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 spans="1:27" ht="15.75" thickBot="1" x14ac:dyDescent="0.25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 spans="1:27" ht="15.75" thickBot="1" x14ac:dyDescent="0.25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 spans="1:27" ht="15.75" thickBot="1" x14ac:dyDescent="0.25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 spans="1:27" ht="15.75" thickBot="1" x14ac:dyDescent="0.25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 spans="1:27" ht="15.75" thickBot="1" x14ac:dyDescent="0.25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 spans="1:27" ht="15.75" thickBot="1" x14ac:dyDescent="0.2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 spans="1:27" ht="15.75" thickBot="1" x14ac:dyDescent="0.25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 spans="1:27" ht="15.75" thickBot="1" x14ac:dyDescent="0.25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 spans="1:27" ht="15.75" thickBot="1" x14ac:dyDescent="0.25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 spans="1:27" ht="15.75" thickBot="1" x14ac:dyDescent="0.25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 spans="1:27" ht="15.75" thickBot="1" x14ac:dyDescent="0.25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 spans="1:27" ht="15.75" thickBot="1" x14ac:dyDescent="0.25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 spans="1:27" ht="15.75" thickBot="1" x14ac:dyDescent="0.25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 spans="1:27" ht="15.75" thickBot="1" x14ac:dyDescent="0.25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 spans="1:27" ht="15.75" thickBot="1" x14ac:dyDescent="0.25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 spans="1:27" ht="15.75" thickBot="1" x14ac:dyDescent="0.2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 spans="1:27" ht="15.75" thickBot="1" x14ac:dyDescent="0.25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 spans="1:27" ht="15.75" thickBot="1" x14ac:dyDescent="0.25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 spans="1:27" ht="15.75" thickBot="1" x14ac:dyDescent="0.25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 spans="1:27" ht="15.75" thickBot="1" x14ac:dyDescent="0.25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 spans="1:27" ht="15.75" thickBot="1" x14ac:dyDescent="0.25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 spans="1:27" ht="15.75" thickBot="1" x14ac:dyDescent="0.25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 spans="1:27" ht="15.75" thickBot="1" x14ac:dyDescent="0.25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 spans="1:27" ht="15.75" thickBot="1" x14ac:dyDescent="0.25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 spans="1:27" ht="15.75" thickBot="1" x14ac:dyDescent="0.25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 spans="1:27" ht="15.75" thickBot="1" x14ac:dyDescent="0.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 spans="1:27" ht="15.75" thickBot="1" x14ac:dyDescent="0.25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 spans="1:27" ht="15.75" thickBot="1" x14ac:dyDescent="0.25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 spans="1:27" ht="15.75" thickBot="1" x14ac:dyDescent="0.25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 spans="1:27" ht="15.75" thickBot="1" x14ac:dyDescent="0.25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 spans="1:27" ht="15.75" thickBot="1" x14ac:dyDescent="0.25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 spans="1:27" ht="15.75" thickBot="1" x14ac:dyDescent="0.25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 spans="1:27" ht="15.75" thickBot="1" x14ac:dyDescent="0.25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 spans="1:27" ht="15.75" thickBot="1" x14ac:dyDescent="0.25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 spans="1:27" ht="15.75" thickBot="1" x14ac:dyDescent="0.25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 spans="1:27" ht="15.75" thickBot="1" x14ac:dyDescent="0.2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 spans="1:27" ht="15.75" thickBot="1" x14ac:dyDescent="0.25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 spans="1:27" ht="15.75" thickBot="1" x14ac:dyDescent="0.25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 spans="1:27" ht="15.75" thickBot="1" x14ac:dyDescent="0.25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 spans="1:27" ht="15.75" thickBot="1" x14ac:dyDescent="0.25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 spans="1:27" ht="15.75" thickBot="1" x14ac:dyDescent="0.25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 spans="1:27" ht="15.75" thickBot="1" x14ac:dyDescent="0.25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 spans="1:27" ht="15.75" thickBot="1" x14ac:dyDescent="0.25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 spans="1:27" ht="15.75" thickBot="1" x14ac:dyDescent="0.25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 spans="1:27" ht="15.75" thickBot="1" x14ac:dyDescent="0.25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 spans="1:27" ht="15.75" thickBot="1" x14ac:dyDescent="0.2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 spans="1:27" ht="15.75" thickBot="1" x14ac:dyDescent="0.25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 spans="1:27" ht="15.75" thickBot="1" x14ac:dyDescent="0.25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 spans="1:27" ht="15.75" thickBot="1" x14ac:dyDescent="0.25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 spans="1:27" ht="15.75" thickBot="1" x14ac:dyDescent="0.25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 spans="1:27" ht="15.75" thickBot="1" x14ac:dyDescent="0.25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 spans="1:27" ht="15.75" thickBot="1" x14ac:dyDescent="0.25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 spans="1:27" ht="15.75" thickBot="1" x14ac:dyDescent="0.25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 spans="1:27" ht="15.75" thickBot="1" x14ac:dyDescent="0.25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 spans="1:27" ht="15.75" thickBot="1" x14ac:dyDescent="0.25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 spans="1:27" ht="15.75" thickBot="1" x14ac:dyDescent="0.2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 spans="1:27" ht="15.75" thickBot="1" x14ac:dyDescent="0.25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 spans="1:27" ht="15.75" thickBot="1" x14ac:dyDescent="0.25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 spans="1:27" ht="15.75" thickBot="1" x14ac:dyDescent="0.25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 spans="1:27" ht="15.75" thickBot="1" x14ac:dyDescent="0.25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 spans="1:27" ht="15.75" thickBot="1" x14ac:dyDescent="0.25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 spans="1:27" ht="15.75" thickBot="1" x14ac:dyDescent="0.25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 spans="1:27" ht="15.75" thickBot="1" x14ac:dyDescent="0.25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 spans="1:27" ht="15.75" thickBot="1" x14ac:dyDescent="0.25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 spans="1:27" ht="15.75" thickBot="1" x14ac:dyDescent="0.25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 spans="1:27" ht="15.75" thickBot="1" x14ac:dyDescent="0.2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 spans="1:27" ht="15.75" thickBot="1" x14ac:dyDescent="0.25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 spans="1:27" ht="15.75" thickBot="1" x14ac:dyDescent="0.25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 spans="1:27" ht="15.75" thickBot="1" x14ac:dyDescent="0.25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 spans="1:27" ht="15.75" thickBot="1" x14ac:dyDescent="0.25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 spans="1:27" ht="15.75" thickBot="1" x14ac:dyDescent="0.25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 spans="1:27" ht="15.75" thickBot="1" x14ac:dyDescent="0.25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 spans="1:27" ht="15.75" thickBot="1" x14ac:dyDescent="0.25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 spans="1:27" ht="15.75" thickBot="1" x14ac:dyDescent="0.25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 spans="1:27" ht="15.75" thickBot="1" x14ac:dyDescent="0.25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 spans="1:27" ht="15.75" thickBot="1" x14ac:dyDescent="0.2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 spans="1:27" ht="15.75" thickBot="1" x14ac:dyDescent="0.25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 spans="1:27" ht="15.75" thickBot="1" x14ac:dyDescent="0.25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 spans="1:27" ht="15.75" thickBot="1" x14ac:dyDescent="0.25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 spans="1:27" ht="15.75" thickBot="1" x14ac:dyDescent="0.25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 spans="1:27" ht="15.75" thickBot="1" x14ac:dyDescent="0.25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 spans="1:27" ht="15.75" thickBot="1" x14ac:dyDescent="0.25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 spans="1:27" ht="15.75" thickBot="1" x14ac:dyDescent="0.25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 spans="1:27" ht="15.75" thickBot="1" x14ac:dyDescent="0.25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 spans="1:27" ht="15.75" thickBot="1" x14ac:dyDescent="0.25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 spans="1:27" ht="15.75" thickBot="1" x14ac:dyDescent="0.2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 spans="1:27" ht="15.75" thickBot="1" x14ac:dyDescent="0.25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 spans="1:27" ht="15.75" thickBot="1" x14ac:dyDescent="0.25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 spans="1:27" ht="15.75" thickBot="1" x14ac:dyDescent="0.25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 spans="1:27" ht="15.75" thickBot="1" x14ac:dyDescent="0.25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 spans="1:27" ht="15.75" thickBot="1" x14ac:dyDescent="0.25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 spans="1:27" ht="15.75" thickBot="1" x14ac:dyDescent="0.25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 spans="1:27" ht="15.75" thickBot="1" x14ac:dyDescent="0.25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 spans="1:27" ht="15.75" thickBot="1" x14ac:dyDescent="0.25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 spans="1:27" ht="15.75" thickBot="1" x14ac:dyDescent="0.25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 spans="1:27" ht="15.75" thickBot="1" x14ac:dyDescent="0.2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 spans="1:27" ht="15.75" thickBot="1" x14ac:dyDescent="0.25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 spans="1:27" ht="15.75" thickBot="1" x14ac:dyDescent="0.25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 spans="1:27" ht="15.75" thickBot="1" x14ac:dyDescent="0.25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 spans="1:27" ht="15.75" thickBot="1" x14ac:dyDescent="0.25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 spans="1:27" ht="15.75" thickBot="1" x14ac:dyDescent="0.25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 spans="1:27" ht="15.75" thickBot="1" x14ac:dyDescent="0.25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 spans="1:27" ht="15.75" thickBot="1" x14ac:dyDescent="0.25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 spans="1:27" ht="15.75" thickBot="1" x14ac:dyDescent="0.25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 spans="1:27" ht="15.75" thickBot="1" x14ac:dyDescent="0.25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 spans="1:27" ht="15.75" thickBot="1" x14ac:dyDescent="0.2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 spans="1:27" ht="15.75" thickBot="1" x14ac:dyDescent="0.25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 spans="1:27" ht="15.75" thickBot="1" x14ac:dyDescent="0.25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 spans="1:27" ht="15.75" thickBot="1" x14ac:dyDescent="0.25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 spans="1:27" ht="15.75" thickBot="1" x14ac:dyDescent="0.25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 spans="1:27" ht="15.75" thickBot="1" x14ac:dyDescent="0.25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 spans="1:27" ht="15.75" thickBot="1" x14ac:dyDescent="0.25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 spans="1:27" ht="15.75" thickBot="1" x14ac:dyDescent="0.25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 spans="1:27" ht="15.75" thickBot="1" x14ac:dyDescent="0.25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 spans="1:27" ht="15.75" thickBot="1" x14ac:dyDescent="0.25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 spans="1:27" ht="15.75" thickBot="1" x14ac:dyDescent="0.2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 spans="1:27" ht="15.75" thickBot="1" x14ac:dyDescent="0.25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 spans="1:27" ht="15.75" thickBot="1" x14ac:dyDescent="0.25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 spans="1:27" ht="15.75" thickBot="1" x14ac:dyDescent="0.25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 spans="1:27" ht="15.75" thickBot="1" x14ac:dyDescent="0.25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 spans="1:27" ht="15.75" thickBot="1" x14ac:dyDescent="0.25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 spans="1:27" ht="15.75" thickBot="1" x14ac:dyDescent="0.25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 spans="1:27" ht="15.75" thickBot="1" x14ac:dyDescent="0.25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 spans="1:27" ht="15.75" thickBot="1" x14ac:dyDescent="0.25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 spans="1:27" ht="15.75" thickBot="1" x14ac:dyDescent="0.25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 spans="1:27" ht="15.75" thickBot="1" x14ac:dyDescent="0.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 spans="1:27" ht="15.75" thickBot="1" x14ac:dyDescent="0.25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 spans="1:27" ht="15.75" thickBot="1" x14ac:dyDescent="0.25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 spans="1:27" ht="15.75" thickBot="1" x14ac:dyDescent="0.25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 spans="1:27" ht="15.75" thickBot="1" x14ac:dyDescent="0.25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 spans="1:27" ht="15.75" thickBot="1" x14ac:dyDescent="0.25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 spans="1:27" ht="15.75" thickBot="1" x14ac:dyDescent="0.25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 spans="1:27" ht="15.75" thickBot="1" x14ac:dyDescent="0.25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 spans="1:27" ht="15.75" thickBot="1" x14ac:dyDescent="0.25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 spans="1:27" ht="15.75" thickBot="1" x14ac:dyDescent="0.25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 spans="1:27" ht="15.75" thickBot="1" x14ac:dyDescent="0.2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 spans="1:27" ht="15.75" thickBot="1" x14ac:dyDescent="0.25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 spans="1:27" ht="15.75" thickBot="1" x14ac:dyDescent="0.25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 spans="1:27" ht="15.75" thickBot="1" x14ac:dyDescent="0.25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 spans="1:27" ht="15.75" thickBot="1" x14ac:dyDescent="0.25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 spans="1:27" ht="15.75" thickBot="1" x14ac:dyDescent="0.25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 spans="1:27" ht="15.75" thickBot="1" x14ac:dyDescent="0.25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 spans="1:27" ht="15.75" thickBot="1" x14ac:dyDescent="0.25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 spans="1:27" ht="15.75" thickBot="1" x14ac:dyDescent="0.25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 spans="1:27" ht="15.75" thickBot="1" x14ac:dyDescent="0.25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 spans="1:27" ht="15.75" thickBot="1" x14ac:dyDescent="0.2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 spans="1:27" ht="15.75" thickBot="1" x14ac:dyDescent="0.25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 spans="1:27" ht="15.75" thickBot="1" x14ac:dyDescent="0.25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 spans="1:27" ht="15.75" thickBot="1" x14ac:dyDescent="0.25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 spans="1:27" ht="15.75" thickBot="1" x14ac:dyDescent="0.25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 spans="1:27" ht="15.75" thickBot="1" x14ac:dyDescent="0.25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 spans="1:27" ht="15.75" thickBot="1" x14ac:dyDescent="0.25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 spans="1:27" ht="15.75" thickBot="1" x14ac:dyDescent="0.25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 spans="1:27" ht="15.75" thickBot="1" x14ac:dyDescent="0.25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 spans="1:27" ht="15.75" thickBot="1" x14ac:dyDescent="0.25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 spans="1:27" ht="15.75" thickBot="1" x14ac:dyDescent="0.2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 spans="1:27" ht="15.75" thickBot="1" x14ac:dyDescent="0.25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 spans="1:27" ht="15.75" thickBot="1" x14ac:dyDescent="0.25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 spans="1:27" ht="15.75" thickBot="1" x14ac:dyDescent="0.25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 spans="1:27" ht="15.75" thickBot="1" x14ac:dyDescent="0.25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 spans="1:27" ht="15.75" thickBot="1" x14ac:dyDescent="0.25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 spans="1:27" ht="15.75" thickBot="1" x14ac:dyDescent="0.25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 spans="1:27" ht="15.75" thickBot="1" x14ac:dyDescent="0.25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 spans="1:27" ht="15.75" thickBot="1" x14ac:dyDescent="0.25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 spans="1:27" ht="15.75" thickBot="1" x14ac:dyDescent="0.25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 spans="1:27" ht="15.75" thickBot="1" x14ac:dyDescent="0.2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 spans="1:27" ht="15.75" thickBot="1" x14ac:dyDescent="0.25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 spans="1:27" ht="15.75" thickBot="1" x14ac:dyDescent="0.25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 spans="1:27" ht="15.75" thickBot="1" x14ac:dyDescent="0.25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 spans="1:27" ht="15.75" thickBot="1" x14ac:dyDescent="0.25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 spans="1:27" ht="15.75" thickBot="1" x14ac:dyDescent="0.25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 spans="1:27" ht="15.75" thickBot="1" x14ac:dyDescent="0.25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 spans="1:27" ht="15.75" thickBot="1" x14ac:dyDescent="0.25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 spans="1:27" ht="15.75" thickBot="1" x14ac:dyDescent="0.25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 spans="1:27" ht="15.75" thickBot="1" x14ac:dyDescent="0.25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 spans="1:27" ht="15.75" thickBot="1" x14ac:dyDescent="0.2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 spans="1:27" ht="15.75" thickBot="1" x14ac:dyDescent="0.25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 spans="1:27" ht="15.75" thickBot="1" x14ac:dyDescent="0.25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 spans="1:27" ht="15.75" thickBot="1" x14ac:dyDescent="0.25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 spans="1:27" ht="15.75" thickBot="1" x14ac:dyDescent="0.25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 spans="1:27" ht="15.75" thickBot="1" x14ac:dyDescent="0.25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 spans="1:27" ht="15.75" thickBot="1" x14ac:dyDescent="0.25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 spans="1:27" ht="15.75" thickBot="1" x14ac:dyDescent="0.25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 spans="1:27" ht="15.75" thickBot="1" x14ac:dyDescent="0.25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 spans="1:27" ht="15.75" thickBot="1" x14ac:dyDescent="0.25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 spans="1:27" ht="15.75" thickBot="1" x14ac:dyDescent="0.2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 spans="1:27" ht="15.75" thickBot="1" x14ac:dyDescent="0.25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 spans="1:27" ht="15.75" thickBot="1" x14ac:dyDescent="0.25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 spans="1:27" ht="15.75" thickBot="1" x14ac:dyDescent="0.25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 spans="1:27" ht="15.75" thickBot="1" x14ac:dyDescent="0.25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 spans="1:27" ht="15.75" thickBot="1" x14ac:dyDescent="0.25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 spans="1:27" ht="15.75" thickBot="1" x14ac:dyDescent="0.25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 spans="1:27" ht="15.75" thickBot="1" x14ac:dyDescent="0.25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 spans="1:27" ht="15.75" thickBot="1" x14ac:dyDescent="0.25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 spans="1:27" ht="15.75" thickBot="1" x14ac:dyDescent="0.25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 spans="1:27" ht="15.75" thickBot="1" x14ac:dyDescent="0.2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 spans="1:27" ht="15.75" thickBot="1" x14ac:dyDescent="0.25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 spans="1:27" ht="15.75" thickBot="1" x14ac:dyDescent="0.25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 spans="1:27" ht="15.75" thickBot="1" x14ac:dyDescent="0.25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 spans="1:27" ht="15.75" thickBot="1" x14ac:dyDescent="0.25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 spans="1:27" ht="15.75" thickBot="1" x14ac:dyDescent="0.25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 spans="1:27" ht="15.75" thickBot="1" x14ac:dyDescent="0.25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 spans="1:27" ht="15.75" thickBot="1" x14ac:dyDescent="0.25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 spans="1:27" ht="15.75" thickBot="1" x14ac:dyDescent="0.25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 spans="1:27" ht="15.75" thickBot="1" x14ac:dyDescent="0.25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 spans="1:27" ht="15.75" thickBot="1" x14ac:dyDescent="0.2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 spans="1:27" ht="15.75" thickBot="1" x14ac:dyDescent="0.25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 spans="1:27" ht="15.75" thickBot="1" x14ac:dyDescent="0.25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 spans="1:27" ht="15.75" thickBot="1" x14ac:dyDescent="0.25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 spans="1:27" ht="15.75" thickBot="1" x14ac:dyDescent="0.25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 spans="1:27" ht="15.75" thickBot="1" x14ac:dyDescent="0.25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 spans="1:27" ht="15.75" thickBot="1" x14ac:dyDescent="0.25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 spans="1:27" ht="15.75" thickBot="1" x14ac:dyDescent="0.25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 spans="1:27" ht="15.75" thickBot="1" x14ac:dyDescent="0.25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 spans="1:27" ht="15.75" thickBot="1" x14ac:dyDescent="0.25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 spans="1:27" ht="15.75" thickBot="1" x14ac:dyDescent="0.2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 spans="1:27" ht="15.75" thickBot="1" x14ac:dyDescent="0.25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 spans="1:27" ht="15.75" thickBot="1" x14ac:dyDescent="0.25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 spans="1:27" ht="15.75" thickBot="1" x14ac:dyDescent="0.25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 spans="1:27" ht="15.75" thickBot="1" x14ac:dyDescent="0.25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 spans="1:27" ht="15.75" thickBot="1" x14ac:dyDescent="0.25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 spans="1:27" ht="15.75" thickBot="1" x14ac:dyDescent="0.25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 spans="1:27" ht="15.75" thickBot="1" x14ac:dyDescent="0.25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 spans="1:27" ht="15.75" thickBot="1" x14ac:dyDescent="0.25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 spans="1:27" ht="15.75" thickBot="1" x14ac:dyDescent="0.25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 spans="1:27" ht="15.75" thickBot="1" x14ac:dyDescent="0.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 spans="1:27" ht="15.75" thickBot="1" x14ac:dyDescent="0.25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 spans="1:27" ht="15.75" thickBot="1" x14ac:dyDescent="0.25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 spans="1:27" ht="15.75" thickBot="1" x14ac:dyDescent="0.25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 spans="1:27" ht="15.75" thickBot="1" x14ac:dyDescent="0.25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 spans="1:27" ht="15.75" thickBot="1" x14ac:dyDescent="0.25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 spans="1:27" ht="15.75" thickBot="1" x14ac:dyDescent="0.25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 spans="1:27" ht="15.75" thickBot="1" x14ac:dyDescent="0.25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 spans="1:27" ht="15.75" thickBot="1" x14ac:dyDescent="0.25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 spans="1:27" ht="15.75" thickBot="1" x14ac:dyDescent="0.25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 spans="1:27" ht="15.75" thickBot="1" x14ac:dyDescent="0.2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 spans="1:27" ht="15.75" thickBot="1" x14ac:dyDescent="0.25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 spans="1:27" ht="15.75" thickBot="1" x14ac:dyDescent="0.25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 spans="1:27" ht="15.75" thickBot="1" x14ac:dyDescent="0.25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 spans="1:27" ht="15.75" thickBot="1" x14ac:dyDescent="0.25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 spans="1:27" ht="15.75" thickBot="1" x14ac:dyDescent="0.25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 spans="1:27" ht="15.75" thickBot="1" x14ac:dyDescent="0.25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 spans="1:27" ht="15.75" thickBot="1" x14ac:dyDescent="0.25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 spans="1:27" ht="15.75" thickBot="1" x14ac:dyDescent="0.25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 spans="1:27" ht="15.75" thickBot="1" x14ac:dyDescent="0.25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 spans="1:27" ht="15.75" thickBot="1" x14ac:dyDescent="0.2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 spans="1:27" ht="15.75" thickBot="1" x14ac:dyDescent="0.25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 spans="1:27" ht="15.75" thickBot="1" x14ac:dyDescent="0.25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 spans="1:27" ht="15.75" thickBot="1" x14ac:dyDescent="0.25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 spans="1:27" ht="15.75" thickBot="1" x14ac:dyDescent="0.25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 spans="1:27" ht="15.75" thickBot="1" x14ac:dyDescent="0.25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 spans="1:27" ht="15.75" thickBot="1" x14ac:dyDescent="0.25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 spans="1:27" ht="15.75" thickBot="1" x14ac:dyDescent="0.25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 spans="1:27" ht="15.75" thickBot="1" x14ac:dyDescent="0.25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 spans="1:27" ht="15.75" thickBot="1" x14ac:dyDescent="0.25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 spans="1:27" ht="15.75" thickBot="1" x14ac:dyDescent="0.2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 spans="1:27" ht="15.75" thickBot="1" x14ac:dyDescent="0.25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 spans="1:27" ht="15.75" thickBot="1" x14ac:dyDescent="0.25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 spans="1:27" ht="15.75" thickBot="1" x14ac:dyDescent="0.25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 spans="1:27" ht="15.75" thickBot="1" x14ac:dyDescent="0.25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 spans="1:27" ht="15.75" thickBot="1" x14ac:dyDescent="0.25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 spans="1:27" ht="15.75" thickBot="1" x14ac:dyDescent="0.25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 spans="1:27" ht="15.75" thickBot="1" x14ac:dyDescent="0.25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 spans="1:27" ht="15.75" thickBot="1" x14ac:dyDescent="0.25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 spans="1:27" ht="15.75" thickBot="1" x14ac:dyDescent="0.25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 spans="1:27" ht="15.75" thickBot="1" x14ac:dyDescent="0.2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 spans="1:27" ht="15.75" thickBot="1" x14ac:dyDescent="0.25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 spans="1:27" ht="15.75" thickBot="1" x14ac:dyDescent="0.25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 spans="1:27" ht="15.75" thickBot="1" x14ac:dyDescent="0.25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 spans="1:27" ht="15.75" thickBot="1" x14ac:dyDescent="0.25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 spans="1:27" ht="15.75" thickBot="1" x14ac:dyDescent="0.25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 spans="1:27" ht="15.75" thickBot="1" x14ac:dyDescent="0.25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 spans="1:27" ht="15.75" thickBot="1" x14ac:dyDescent="0.25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 spans="1:27" ht="15.75" thickBot="1" x14ac:dyDescent="0.25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 spans="1:27" ht="15.75" thickBot="1" x14ac:dyDescent="0.25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 spans="1:27" ht="15.75" thickBot="1" x14ac:dyDescent="0.2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 spans="1:27" ht="15.75" thickBot="1" x14ac:dyDescent="0.25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 spans="1:27" ht="15.75" thickBot="1" x14ac:dyDescent="0.25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 spans="1:27" ht="15.75" thickBot="1" x14ac:dyDescent="0.25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 spans="1:27" ht="15.75" thickBot="1" x14ac:dyDescent="0.25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 spans="1:27" ht="15.75" thickBot="1" x14ac:dyDescent="0.25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 spans="1:27" ht="15.75" thickBot="1" x14ac:dyDescent="0.25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 spans="1:27" ht="15.75" thickBot="1" x14ac:dyDescent="0.25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 spans="1:27" ht="15.75" thickBot="1" x14ac:dyDescent="0.25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 spans="1:27" ht="15.75" thickBot="1" x14ac:dyDescent="0.25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 spans="1:27" ht="15.75" thickBot="1" x14ac:dyDescent="0.2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 spans="1:27" ht="15.75" thickBot="1" x14ac:dyDescent="0.25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 spans="1:27" ht="15.75" thickBot="1" x14ac:dyDescent="0.25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 spans="1:27" ht="15.75" thickBot="1" x14ac:dyDescent="0.25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 spans="1:27" ht="15.75" thickBot="1" x14ac:dyDescent="0.25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 spans="1:27" ht="15.75" thickBot="1" x14ac:dyDescent="0.25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 spans="1:27" ht="15.75" thickBot="1" x14ac:dyDescent="0.25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 spans="1:27" ht="15.75" thickBot="1" x14ac:dyDescent="0.25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 spans="1:27" ht="15.75" thickBot="1" x14ac:dyDescent="0.25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 spans="1:27" ht="15.75" thickBot="1" x14ac:dyDescent="0.25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 spans="1:27" ht="15.75" thickBot="1" x14ac:dyDescent="0.2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 spans="1:27" ht="15.75" thickBot="1" x14ac:dyDescent="0.25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 spans="1:27" ht="15.75" thickBot="1" x14ac:dyDescent="0.25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 spans="1:27" ht="15.75" thickBot="1" x14ac:dyDescent="0.25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 spans="1:27" ht="15.75" thickBot="1" x14ac:dyDescent="0.25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 spans="1:27" ht="15.75" thickBot="1" x14ac:dyDescent="0.25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 spans="1:27" ht="15.75" thickBot="1" x14ac:dyDescent="0.25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 spans="1:27" ht="15.75" thickBot="1" x14ac:dyDescent="0.25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 spans="1:27" ht="15.75" thickBot="1" x14ac:dyDescent="0.25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 spans="1:27" ht="15.75" thickBot="1" x14ac:dyDescent="0.25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 spans="1:27" ht="15.75" thickBot="1" x14ac:dyDescent="0.2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 spans="1:27" ht="15.75" thickBot="1" x14ac:dyDescent="0.25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 spans="1:27" ht="15.75" thickBot="1" x14ac:dyDescent="0.25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 spans="1:27" ht="15.75" thickBot="1" x14ac:dyDescent="0.25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 spans="1:27" ht="15.75" thickBot="1" x14ac:dyDescent="0.25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 spans="1:27" ht="15.75" thickBot="1" x14ac:dyDescent="0.25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 spans="1:27" ht="15.75" thickBot="1" x14ac:dyDescent="0.25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 spans="1:27" ht="15.75" thickBot="1" x14ac:dyDescent="0.25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 spans="1:27" ht="15.75" thickBot="1" x14ac:dyDescent="0.25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 spans="1:27" ht="15.75" thickBot="1" x14ac:dyDescent="0.25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 spans="1:27" ht="15.75" thickBot="1" x14ac:dyDescent="0.2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 spans="1:27" ht="15.75" thickBot="1" x14ac:dyDescent="0.25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 spans="1:27" ht="15.75" thickBot="1" x14ac:dyDescent="0.25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 spans="1:27" ht="15.75" thickBot="1" x14ac:dyDescent="0.25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 spans="1:27" ht="15.75" thickBot="1" x14ac:dyDescent="0.25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 spans="1:27" ht="15.75" thickBot="1" x14ac:dyDescent="0.25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 spans="1:27" ht="15.75" thickBot="1" x14ac:dyDescent="0.25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 spans="1:27" ht="15.75" thickBot="1" x14ac:dyDescent="0.25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 spans="1:27" ht="15.75" thickBot="1" x14ac:dyDescent="0.25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 spans="1:27" ht="15.75" thickBot="1" x14ac:dyDescent="0.25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 spans="1:27" ht="15.75" thickBot="1" x14ac:dyDescent="0.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 spans="1:27" ht="15.75" thickBot="1" x14ac:dyDescent="0.25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 spans="1:27" ht="15.75" thickBot="1" x14ac:dyDescent="0.25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 spans="1:27" ht="15.75" thickBot="1" x14ac:dyDescent="0.25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 spans="1:27" ht="15.75" thickBot="1" x14ac:dyDescent="0.25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 spans="1:27" ht="15.75" thickBot="1" x14ac:dyDescent="0.25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 spans="1:27" ht="15.75" thickBot="1" x14ac:dyDescent="0.25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 spans="1:27" ht="15.75" thickBot="1" x14ac:dyDescent="0.25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 spans="1:27" ht="15.75" thickBot="1" x14ac:dyDescent="0.25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 spans="1:27" ht="15.75" thickBot="1" x14ac:dyDescent="0.25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 spans="1:27" ht="15.75" thickBot="1" x14ac:dyDescent="0.2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 spans="1:27" ht="15.75" thickBot="1" x14ac:dyDescent="0.25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 spans="1:27" ht="15.75" thickBot="1" x14ac:dyDescent="0.25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 spans="1:27" ht="15.75" thickBot="1" x14ac:dyDescent="0.25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 spans="1:27" ht="15.75" thickBot="1" x14ac:dyDescent="0.25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 spans="1:27" ht="15.75" thickBot="1" x14ac:dyDescent="0.25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 spans="1:27" ht="15.75" thickBot="1" x14ac:dyDescent="0.25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 spans="1:27" ht="15.75" thickBot="1" x14ac:dyDescent="0.25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 spans="1:27" ht="15.75" thickBot="1" x14ac:dyDescent="0.25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 spans="1:27" ht="15.75" thickBot="1" x14ac:dyDescent="0.25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 spans="1:27" ht="15.75" thickBot="1" x14ac:dyDescent="0.2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 spans="1:27" ht="15.75" thickBot="1" x14ac:dyDescent="0.25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 spans="1:27" ht="15.75" thickBot="1" x14ac:dyDescent="0.25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 spans="1:27" ht="15.75" thickBot="1" x14ac:dyDescent="0.25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 spans="1:27" ht="15.75" thickBot="1" x14ac:dyDescent="0.25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 spans="1:27" ht="15.75" thickBot="1" x14ac:dyDescent="0.25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 spans="1:27" ht="15.75" thickBot="1" x14ac:dyDescent="0.25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 spans="1:27" ht="15.75" thickBot="1" x14ac:dyDescent="0.25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 spans="1:27" ht="15.75" thickBot="1" x14ac:dyDescent="0.25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 spans="1:27" ht="15.75" thickBot="1" x14ac:dyDescent="0.25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 spans="1:27" ht="15.75" thickBot="1" x14ac:dyDescent="0.2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 spans="1:27" ht="15.75" thickBot="1" x14ac:dyDescent="0.25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 spans="1:27" ht="15.75" thickBot="1" x14ac:dyDescent="0.25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 spans="1:27" ht="15.75" thickBot="1" x14ac:dyDescent="0.25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 spans="1:27" ht="15.75" thickBot="1" x14ac:dyDescent="0.25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 spans="1:27" ht="15.75" thickBot="1" x14ac:dyDescent="0.25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 spans="1:27" ht="15.75" thickBot="1" x14ac:dyDescent="0.25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 spans="1:27" ht="15.75" thickBot="1" x14ac:dyDescent="0.25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 spans="1:27" ht="15.75" thickBot="1" x14ac:dyDescent="0.25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 spans="1:27" ht="15.75" thickBot="1" x14ac:dyDescent="0.25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 spans="1:27" ht="15.75" thickBot="1" x14ac:dyDescent="0.2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 spans="1:27" ht="15.75" thickBot="1" x14ac:dyDescent="0.25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 spans="1:27" ht="15.75" thickBot="1" x14ac:dyDescent="0.25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 spans="1:27" ht="15.75" thickBot="1" x14ac:dyDescent="0.25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 spans="1:27" ht="15.75" thickBot="1" x14ac:dyDescent="0.25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 spans="1:27" ht="15.75" thickBot="1" x14ac:dyDescent="0.25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 spans="1:27" ht="15.75" thickBot="1" x14ac:dyDescent="0.25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 spans="1:27" ht="15.75" thickBot="1" x14ac:dyDescent="0.25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 spans="1:27" ht="15.75" thickBot="1" x14ac:dyDescent="0.25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 spans="1:27" ht="15.75" thickBot="1" x14ac:dyDescent="0.25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 spans="1:27" ht="15.75" thickBot="1" x14ac:dyDescent="0.2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 spans="1:27" ht="15.75" thickBot="1" x14ac:dyDescent="0.25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 spans="1:27" ht="15.75" thickBot="1" x14ac:dyDescent="0.25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 spans="1:27" ht="15.75" thickBot="1" x14ac:dyDescent="0.25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 spans="1:27" ht="15.75" thickBot="1" x14ac:dyDescent="0.25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 spans="1:27" ht="15.75" thickBot="1" x14ac:dyDescent="0.25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 spans="1:27" ht="15.75" thickBot="1" x14ac:dyDescent="0.25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 spans="1:27" ht="15.75" thickBot="1" x14ac:dyDescent="0.25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 spans="1:27" ht="15.75" thickBot="1" x14ac:dyDescent="0.25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 spans="1:27" ht="15.75" thickBot="1" x14ac:dyDescent="0.25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 spans="1:27" ht="15.75" thickBot="1" x14ac:dyDescent="0.2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 spans="1:27" ht="15.75" thickBot="1" x14ac:dyDescent="0.25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 spans="1:27" ht="15.75" thickBot="1" x14ac:dyDescent="0.25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 spans="1:27" ht="15.75" thickBot="1" x14ac:dyDescent="0.25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 spans="1:27" ht="15.75" thickBot="1" x14ac:dyDescent="0.25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 spans="1:27" ht="15.75" thickBot="1" x14ac:dyDescent="0.25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 spans="1:27" ht="15.75" thickBot="1" x14ac:dyDescent="0.25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 spans="1:27" ht="15.75" thickBot="1" x14ac:dyDescent="0.25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 spans="1:27" ht="15.75" thickBot="1" x14ac:dyDescent="0.25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 spans="1:27" ht="15.75" thickBot="1" x14ac:dyDescent="0.25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 spans="1:27" ht="15.75" thickBot="1" x14ac:dyDescent="0.2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 spans="1:27" ht="15.75" thickBot="1" x14ac:dyDescent="0.25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 spans="1:27" ht="15.75" thickBot="1" x14ac:dyDescent="0.25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 spans="1:27" ht="15.75" thickBot="1" x14ac:dyDescent="0.25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 spans="1:27" ht="15.75" thickBot="1" x14ac:dyDescent="0.25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 spans="1:27" ht="15.75" thickBot="1" x14ac:dyDescent="0.25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 spans="1:27" ht="15.75" thickBot="1" x14ac:dyDescent="0.25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 spans="1:27" ht="15.75" thickBot="1" x14ac:dyDescent="0.25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 spans="1:27" ht="15.75" thickBot="1" x14ac:dyDescent="0.25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 spans="1:27" ht="15.75" thickBot="1" x14ac:dyDescent="0.25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 spans="1:27" ht="15.75" thickBot="1" x14ac:dyDescent="0.2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 spans="1:27" ht="15.75" thickBot="1" x14ac:dyDescent="0.25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 spans="1:27" ht="15.75" thickBot="1" x14ac:dyDescent="0.25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 spans="1:27" ht="15.75" thickBot="1" x14ac:dyDescent="0.25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 spans="1:27" ht="15.75" thickBot="1" x14ac:dyDescent="0.25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 spans="1:27" ht="15.75" thickBot="1" x14ac:dyDescent="0.25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 spans="1:27" ht="15.75" thickBot="1" x14ac:dyDescent="0.25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 spans="1:27" ht="15.75" thickBot="1" x14ac:dyDescent="0.25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 spans="1:27" ht="15.75" thickBot="1" x14ac:dyDescent="0.25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 spans="1:27" ht="15.75" thickBot="1" x14ac:dyDescent="0.25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 spans="1:27" ht="15.75" thickBot="1" x14ac:dyDescent="0.2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 spans="1:27" ht="15.75" thickBot="1" x14ac:dyDescent="0.25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 spans="1:27" ht="15.75" thickBot="1" x14ac:dyDescent="0.25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 spans="1:27" ht="15.75" thickBot="1" x14ac:dyDescent="0.25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 spans="1:27" ht="15.75" thickBot="1" x14ac:dyDescent="0.25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 spans="1:27" ht="15.75" thickBot="1" x14ac:dyDescent="0.25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 spans="1:27" ht="15.75" thickBot="1" x14ac:dyDescent="0.25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 spans="1:27" ht="15.75" thickBot="1" x14ac:dyDescent="0.25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 spans="1:27" ht="15.75" thickBot="1" x14ac:dyDescent="0.25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 spans="1:27" ht="15.75" thickBot="1" x14ac:dyDescent="0.25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 spans="1:27" ht="15.75" thickBot="1" x14ac:dyDescent="0.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 spans="1:27" ht="15.75" thickBot="1" x14ac:dyDescent="0.25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 spans="1:27" ht="15.75" thickBot="1" x14ac:dyDescent="0.25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 spans="1:27" ht="15.75" thickBot="1" x14ac:dyDescent="0.25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 spans="1:27" ht="15.75" thickBot="1" x14ac:dyDescent="0.25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 spans="1:27" ht="15.75" thickBot="1" x14ac:dyDescent="0.25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 spans="1:27" ht="15.75" thickBot="1" x14ac:dyDescent="0.25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 spans="1:27" ht="15.75" thickBot="1" x14ac:dyDescent="0.25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 spans="1:27" ht="15.75" thickBot="1" x14ac:dyDescent="0.25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 spans="1:27" ht="15.75" thickBot="1" x14ac:dyDescent="0.25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 spans="1:27" ht="15.75" thickBot="1" x14ac:dyDescent="0.2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 spans="1:27" ht="15.75" thickBot="1" x14ac:dyDescent="0.25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 spans="1:27" ht="15.75" thickBot="1" x14ac:dyDescent="0.25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 spans="1:27" ht="15.75" thickBot="1" x14ac:dyDescent="0.25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 spans="1:27" ht="15.75" thickBot="1" x14ac:dyDescent="0.25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 spans="1:27" ht="15.75" thickBot="1" x14ac:dyDescent="0.25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 spans="1:27" ht="15.75" thickBot="1" x14ac:dyDescent="0.25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 spans="1:27" ht="15.75" thickBot="1" x14ac:dyDescent="0.25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 spans="1:27" ht="15.75" thickBot="1" x14ac:dyDescent="0.25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 spans="1:27" ht="15.75" thickBot="1" x14ac:dyDescent="0.25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 spans="1:27" ht="15.75" thickBot="1" x14ac:dyDescent="0.2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 spans="1:27" ht="15.75" thickBot="1" x14ac:dyDescent="0.25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 spans="1:27" ht="15.75" thickBot="1" x14ac:dyDescent="0.25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 spans="1:27" ht="15.75" thickBot="1" x14ac:dyDescent="0.25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 spans="1:27" ht="15.75" thickBot="1" x14ac:dyDescent="0.25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 spans="1:27" ht="15.75" thickBot="1" x14ac:dyDescent="0.25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 spans="1:27" ht="15.75" thickBot="1" x14ac:dyDescent="0.25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 spans="1:27" ht="15.75" thickBot="1" x14ac:dyDescent="0.25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 spans="1:27" ht="15.75" thickBot="1" x14ac:dyDescent="0.25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 spans="1:27" ht="15.75" thickBot="1" x14ac:dyDescent="0.25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 spans="1:27" ht="15.75" thickBot="1" x14ac:dyDescent="0.2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 spans="1:27" ht="15.75" thickBot="1" x14ac:dyDescent="0.25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 spans="1:27" ht="15.75" thickBot="1" x14ac:dyDescent="0.25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 spans="1:27" ht="15.75" thickBot="1" x14ac:dyDescent="0.25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 spans="1:27" ht="15.75" thickBot="1" x14ac:dyDescent="0.25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 spans="1:27" ht="15.75" thickBot="1" x14ac:dyDescent="0.25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 spans="1:27" ht="15.75" thickBot="1" x14ac:dyDescent="0.25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 spans="1:27" ht="15.75" thickBot="1" x14ac:dyDescent="0.25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 spans="1:27" ht="15.75" thickBot="1" x14ac:dyDescent="0.25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 spans="1:27" ht="15.75" thickBot="1" x14ac:dyDescent="0.25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 spans="1:27" ht="15.75" thickBot="1" x14ac:dyDescent="0.2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 spans="1:27" ht="15.75" thickBot="1" x14ac:dyDescent="0.25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 spans="1:27" ht="15.75" thickBot="1" x14ac:dyDescent="0.25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 spans="1:27" ht="15.75" thickBot="1" x14ac:dyDescent="0.25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 spans="1:27" ht="15.75" thickBot="1" x14ac:dyDescent="0.25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 spans="1:27" ht="15.75" thickBot="1" x14ac:dyDescent="0.25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 spans="1:27" ht="15.75" thickBot="1" x14ac:dyDescent="0.25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 spans="1:27" ht="15.75" thickBot="1" x14ac:dyDescent="0.25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 spans="1:27" ht="15.75" thickBot="1" x14ac:dyDescent="0.25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 spans="1:27" ht="15.75" thickBot="1" x14ac:dyDescent="0.25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 spans="1:27" ht="15.75" thickBot="1" x14ac:dyDescent="0.2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 spans="1:27" ht="15.75" thickBot="1" x14ac:dyDescent="0.25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 spans="1:27" ht="15.75" thickBot="1" x14ac:dyDescent="0.25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 spans="1:27" ht="15.75" thickBot="1" x14ac:dyDescent="0.25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 spans="1:27" ht="15.75" thickBot="1" x14ac:dyDescent="0.25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 spans="1:27" ht="15.75" thickBot="1" x14ac:dyDescent="0.25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 spans="1:27" ht="15.75" thickBot="1" x14ac:dyDescent="0.25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 spans="1:27" ht="15.75" thickBot="1" x14ac:dyDescent="0.25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 spans="1:27" ht="15.75" thickBot="1" x14ac:dyDescent="0.25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 spans="1:27" ht="15.75" thickBot="1" x14ac:dyDescent="0.25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 spans="1:27" ht="15.75" thickBot="1" x14ac:dyDescent="0.2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 spans="1:27" ht="15.75" thickBot="1" x14ac:dyDescent="0.25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 spans="1:27" ht="15.75" thickBot="1" x14ac:dyDescent="0.25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 spans="1:27" ht="15.75" thickBot="1" x14ac:dyDescent="0.25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 spans="1:27" ht="15.75" thickBot="1" x14ac:dyDescent="0.25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 spans="1:27" ht="15.75" thickBot="1" x14ac:dyDescent="0.25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 spans="1:27" ht="15.75" thickBot="1" x14ac:dyDescent="0.25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 spans="1:27" ht="15.75" thickBot="1" x14ac:dyDescent="0.25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 spans="1:27" ht="15.75" thickBot="1" x14ac:dyDescent="0.25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 spans="1:27" ht="15.75" thickBot="1" x14ac:dyDescent="0.25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 spans="1:27" ht="15.75" thickBot="1" x14ac:dyDescent="0.2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 spans="1:27" ht="15.75" thickBot="1" x14ac:dyDescent="0.25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 spans="1:27" ht="15.75" thickBot="1" x14ac:dyDescent="0.25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 spans="1:27" ht="15.75" thickBot="1" x14ac:dyDescent="0.25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 spans="1:27" ht="15.75" thickBot="1" x14ac:dyDescent="0.25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 spans="1:27" ht="15.75" thickBot="1" x14ac:dyDescent="0.25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 spans="1:27" ht="15.75" thickBot="1" x14ac:dyDescent="0.25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 spans="1:27" ht="15.75" thickBot="1" x14ac:dyDescent="0.25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 spans="1:27" ht="15.75" thickBot="1" x14ac:dyDescent="0.25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 spans="1:27" ht="15.75" thickBot="1" x14ac:dyDescent="0.25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 spans="1:27" ht="15.75" thickBot="1" x14ac:dyDescent="0.2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 spans="1:27" ht="15.75" thickBot="1" x14ac:dyDescent="0.25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 spans="1:27" ht="15.75" thickBot="1" x14ac:dyDescent="0.25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 spans="1:27" ht="15.75" thickBot="1" x14ac:dyDescent="0.25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 spans="1:27" ht="15.75" thickBot="1" x14ac:dyDescent="0.25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 spans="1:27" ht="15.75" thickBot="1" x14ac:dyDescent="0.25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 spans="1:27" ht="15.75" thickBot="1" x14ac:dyDescent="0.25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 spans="1:27" ht="15.75" thickBot="1" x14ac:dyDescent="0.25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 spans="1:27" ht="15.75" thickBot="1" x14ac:dyDescent="0.25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 spans="1:27" ht="15.75" thickBot="1" x14ac:dyDescent="0.25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 spans="1:27" ht="15.75" thickBot="1" x14ac:dyDescent="0.2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 spans="1:27" ht="15.75" thickBot="1" x14ac:dyDescent="0.25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 spans="1:27" ht="15.75" thickBot="1" x14ac:dyDescent="0.25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 spans="1:27" ht="15.75" thickBot="1" x14ac:dyDescent="0.25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 spans="1:27" ht="15.75" thickBot="1" x14ac:dyDescent="0.25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 spans="1:27" ht="15.75" thickBot="1" x14ac:dyDescent="0.25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 spans="1:27" ht="15.75" thickBot="1" x14ac:dyDescent="0.25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 spans="1:27" ht="15.75" thickBot="1" x14ac:dyDescent="0.25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</row>
    <row r="923" spans="1:27" ht="15.75" thickBot="1" x14ac:dyDescent="0.25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</row>
    <row r="924" spans="1:27" ht="15.75" thickBot="1" x14ac:dyDescent="0.25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</row>
    <row r="925" spans="1:27" ht="15.75" thickBot="1" x14ac:dyDescent="0.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</row>
    <row r="926" spans="1:27" ht="15.75" thickBot="1" x14ac:dyDescent="0.25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</row>
    <row r="927" spans="1:27" ht="15.75" thickBot="1" x14ac:dyDescent="0.25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</row>
    <row r="928" spans="1:27" ht="15.75" thickBot="1" x14ac:dyDescent="0.25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</row>
    <row r="929" spans="1:27" ht="15.75" thickBot="1" x14ac:dyDescent="0.25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</row>
    <row r="930" spans="1:27" ht="15.75" thickBot="1" x14ac:dyDescent="0.25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</row>
    <row r="931" spans="1:27" ht="15.75" thickBot="1" x14ac:dyDescent="0.25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</row>
    <row r="932" spans="1:27" ht="15.75" thickBot="1" x14ac:dyDescent="0.25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</row>
    <row r="933" spans="1:27" ht="15.75" thickBot="1" x14ac:dyDescent="0.25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</row>
    <row r="934" spans="1:27" ht="15.75" thickBot="1" x14ac:dyDescent="0.25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</row>
    <row r="935" spans="1:27" ht="15.75" thickBot="1" x14ac:dyDescent="0.2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</row>
    <row r="936" spans="1:27" ht="15.75" thickBot="1" x14ac:dyDescent="0.25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</row>
    <row r="937" spans="1:27" ht="15.75" thickBot="1" x14ac:dyDescent="0.25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</row>
    <row r="938" spans="1:27" ht="15.75" thickBot="1" x14ac:dyDescent="0.25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</row>
    <row r="939" spans="1:27" ht="15.75" thickBot="1" x14ac:dyDescent="0.25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</row>
    <row r="940" spans="1:27" ht="15.75" thickBot="1" x14ac:dyDescent="0.25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</row>
    <row r="941" spans="1:27" ht="15.75" thickBot="1" x14ac:dyDescent="0.25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</row>
    <row r="942" spans="1:27" ht="15.75" thickBot="1" x14ac:dyDescent="0.25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</row>
    <row r="943" spans="1:27" ht="15.75" thickBot="1" x14ac:dyDescent="0.25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</row>
    <row r="944" spans="1:27" ht="15.75" thickBot="1" x14ac:dyDescent="0.25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</row>
    <row r="945" spans="1:27" ht="15.75" thickBot="1" x14ac:dyDescent="0.2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</row>
    <row r="946" spans="1:27" ht="15.75" thickBot="1" x14ac:dyDescent="0.25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</row>
    <row r="947" spans="1:27" ht="15.75" thickBot="1" x14ac:dyDescent="0.25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</row>
    <row r="948" spans="1:27" ht="15.75" thickBot="1" x14ac:dyDescent="0.25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</row>
    <row r="949" spans="1:27" ht="15.75" thickBot="1" x14ac:dyDescent="0.25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</row>
    <row r="950" spans="1:27" ht="15.75" thickBot="1" x14ac:dyDescent="0.25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</row>
    <row r="951" spans="1:27" ht="15.75" thickBot="1" x14ac:dyDescent="0.25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</row>
    <row r="952" spans="1:27" ht="15.75" thickBot="1" x14ac:dyDescent="0.25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</row>
    <row r="953" spans="1:27" ht="15.75" thickBot="1" x14ac:dyDescent="0.25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</row>
    <row r="954" spans="1:27" ht="15.75" thickBot="1" x14ac:dyDescent="0.25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</row>
    <row r="955" spans="1:27" ht="15.75" thickBot="1" x14ac:dyDescent="0.2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</row>
    <row r="956" spans="1:27" ht="15.75" thickBot="1" x14ac:dyDescent="0.25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</row>
    <row r="957" spans="1:27" ht="15.75" thickBot="1" x14ac:dyDescent="0.25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</row>
    <row r="958" spans="1:27" ht="15.75" thickBot="1" x14ac:dyDescent="0.25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</row>
    <row r="959" spans="1:27" ht="15.75" thickBot="1" x14ac:dyDescent="0.25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</row>
    <row r="960" spans="1:27" ht="15.75" thickBot="1" x14ac:dyDescent="0.25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</row>
    <row r="961" spans="1:27" ht="15.75" thickBot="1" x14ac:dyDescent="0.25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</row>
    <row r="962" spans="1:27" ht="15.75" thickBot="1" x14ac:dyDescent="0.25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</row>
    <row r="963" spans="1:27" ht="15.75" thickBot="1" x14ac:dyDescent="0.25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</row>
    <row r="964" spans="1:27" ht="15.75" thickBot="1" x14ac:dyDescent="0.25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</row>
    <row r="965" spans="1:27" ht="15.75" thickBot="1" x14ac:dyDescent="0.2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</row>
    <row r="966" spans="1:27" ht="15.75" thickBot="1" x14ac:dyDescent="0.2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</row>
    <row r="967" spans="1:27" ht="15.75" thickBot="1" x14ac:dyDescent="0.2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</row>
    <row r="968" spans="1:27" ht="15.75" thickBot="1" x14ac:dyDescent="0.2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</row>
    <row r="969" spans="1:27" ht="15.75" thickBot="1" x14ac:dyDescent="0.2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</row>
    <row r="970" spans="1:27" ht="15.75" thickBot="1" x14ac:dyDescent="0.2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</row>
    <row r="971" spans="1:27" ht="15.75" thickBot="1" x14ac:dyDescent="0.2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</row>
    <row r="972" spans="1:27" ht="15.75" thickBot="1" x14ac:dyDescent="0.2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</row>
    <row r="973" spans="1:27" ht="15.75" thickBot="1" x14ac:dyDescent="0.2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</row>
    <row r="974" spans="1:27" ht="15.75" thickBot="1" x14ac:dyDescent="0.2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</row>
    <row r="975" spans="1:27" ht="15.75" thickBot="1" x14ac:dyDescent="0.2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</row>
    <row r="976" spans="1:27" ht="15.75" thickBot="1" x14ac:dyDescent="0.2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</row>
    <row r="977" spans="1:27" ht="15.75" thickBot="1" x14ac:dyDescent="0.25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</row>
    <row r="978" spans="1:27" ht="15.75" thickBot="1" x14ac:dyDescent="0.25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</row>
    <row r="979" spans="1:27" ht="15.75" thickBot="1" x14ac:dyDescent="0.25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</row>
    <row r="980" spans="1:27" ht="15.75" thickBot="1" x14ac:dyDescent="0.25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</row>
    <row r="981" spans="1:27" ht="15.75" thickBot="1" x14ac:dyDescent="0.25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</row>
    <row r="982" spans="1:27" ht="15.75" thickBot="1" x14ac:dyDescent="0.25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</row>
    <row r="983" spans="1:27" ht="15.75" thickBot="1" x14ac:dyDescent="0.25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</row>
    <row r="984" spans="1:27" ht="15.75" thickBot="1" x14ac:dyDescent="0.25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</row>
    <row r="985" spans="1:27" ht="15.75" thickBot="1" x14ac:dyDescent="0.2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</row>
    <row r="986" spans="1:27" ht="15.75" thickBot="1" x14ac:dyDescent="0.25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</row>
    <row r="987" spans="1:27" ht="15.75" thickBot="1" x14ac:dyDescent="0.25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</row>
    <row r="988" spans="1:27" ht="15.75" thickBot="1" x14ac:dyDescent="0.25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</row>
    <row r="989" spans="1:27" ht="15.75" thickBot="1" x14ac:dyDescent="0.25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</row>
    <row r="990" spans="1:27" ht="15.75" thickBot="1" x14ac:dyDescent="0.25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</row>
    <row r="991" spans="1:27" ht="15.75" thickBot="1" x14ac:dyDescent="0.25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</row>
    <row r="992" spans="1:27" ht="15.75" thickBot="1" x14ac:dyDescent="0.25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</row>
    <row r="993" spans="1:27" ht="15.75" thickBot="1" x14ac:dyDescent="0.25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</row>
    <row r="994" spans="1:27" ht="15.75" thickBot="1" x14ac:dyDescent="0.25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</row>
    <row r="995" spans="1:27" ht="15.75" thickBot="1" x14ac:dyDescent="0.2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</row>
    <row r="996" spans="1:27" ht="15.75" thickBot="1" x14ac:dyDescent="0.25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</row>
    <row r="997" spans="1:27" ht="15.75" thickBot="1" x14ac:dyDescent="0.25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</row>
    <row r="998" spans="1:27" ht="15.75" thickBot="1" x14ac:dyDescent="0.25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</row>
    <row r="999" spans="1:27" ht="15.75" thickBot="1" x14ac:dyDescent="0.25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</row>
    <row r="1000" spans="1:27" ht="15.75" thickBot="1" x14ac:dyDescent="0.25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</row>
    <row r="1001" spans="1:27" ht="15.75" thickBot="1" x14ac:dyDescent="0.25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</row>
    <row r="1002" spans="1:27" ht="15.75" thickBot="1" x14ac:dyDescent="0.25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</row>
    <row r="1003" spans="1:27" ht="15.75" thickBot="1" x14ac:dyDescent="0.25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</row>
  </sheetData>
  <mergeCells count="1">
    <mergeCell ref="A1:B1"/>
  </mergeCells>
  <hyperlinks>
    <hyperlink ref="D11" r:id="rId1" display="mailto:27whitmorek@masdstudent.org" xr:uid="{5B68FAA2-2F93-F64D-8619-B1EF0CD783B2}"/>
    <hyperlink ref="D9" r:id="rId2" xr:uid="{03BD44CA-8009-4BB0-8BF1-F4919E192B71}"/>
    <hyperlink ref="D24" r:id="rId3" xr:uid="{54649B55-5B04-4A11-B811-D583E136FB02}"/>
    <hyperlink ref="D15" r:id="rId4" xr:uid="{91211B52-ADEF-4ACC-8832-8FBE038D0BDF}"/>
  </hyperlinks>
  <pageMargins left="0.25" right="0.25" top="0.75" bottom="0.75" header="0.3" footer="0.3"/>
  <pageSetup scale="39" fitToHeight="0" orientation="landscape" horizontalDpi="0" verticalDpi="0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ED02-45A6-4E2E-A15F-AFA00EC1A37C}">
  <sheetPr>
    <pageSetUpPr fitToPage="1"/>
  </sheetPr>
  <dimension ref="A1:B168"/>
  <sheetViews>
    <sheetView workbookViewId="0">
      <selection activeCell="A66" sqref="A66"/>
    </sheetView>
  </sheetViews>
  <sheetFormatPr defaultRowHeight="15" x14ac:dyDescent="0.2"/>
  <cols>
    <col min="1" max="1" width="45.0625" customWidth="1"/>
    <col min="2" max="2" width="56.36328125" customWidth="1"/>
  </cols>
  <sheetData>
    <row r="1" spans="1:2" ht="15.75" thickBot="1" x14ac:dyDescent="0.25">
      <c r="A1" s="115" t="s">
        <v>907</v>
      </c>
      <c r="B1" s="116" t="s">
        <v>492</v>
      </c>
    </row>
    <row r="2" spans="1:2" ht="15.75" thickBot="1" x14ac:dyDescent="0.25">
      <c r="A2" s="117" t="s">
        <v>908</v>
      </c>
      <c r="B2" s="118" t="s">
        <v>532</v>
      </c>
    </row>
    <row r="3" spans="1:2" ht="15.75" thickBot="1" x14ac:dyDescent="0.25">
      <c r="A3" s="119" t="s">
        <v>909</v>
      </c>
      <c r="B3" s="120" t="s">
        <v>854</v>
      </c>
    </row>
    <row r="4" spans="1:2" ht="15.75" thickBot="1" x14ac:dyDescent="0.25">
      <c r="A4" s="117" t="s">
        <v>910</v>
      </c>
      <c r="B4" s="118" t="s">
        <v>855</v>
      </c>
    </row>
    <row r="5" spans="1:2" ht="15.75" thickBot="1" x14ac:dyDescent="0.25">
      <c r="A5" s="119" t="s">
        <v>911</v>
      </c>
      <c r="B5" s="120" t="s">
        <v>856</v>
      </c>
    </row>
    <row r="6" spans="1:2" ht="15.75" thickBot="1" x14ac:dyDescent="0.25">
      <c r="A6" s="126" t="s">
        <v>912</v>
      </c>
      <c r="B6" s="118" t="s">
        <v>27</v>
      </c>
    </row>
    <row r="7" spans="1:2" ht="15.75" thickBot="1" x14ac:dyDescent="0.25">
      <c r="A7" s="125" t="s">
        <v>913</v>
      </c>
      <c r="B7" s="120" t="s">
        <v>857</v>
      </c>
    </row>
    <row r="8" spans="1:2" ht="15.75" thickBot="1" x14ac:dyDescent="0.25">
      <c r="A8" s="124" t="s">
        <v>430</v>
      </c>
      <c r="B8" s="118" t="s">
        <v>858</v>
      </c>
    </row>
    <row r="9" spans="1:2" ht="15.75" thickBot="1" x14ac:dyDescent="0.25">
      <c r="A9" s="125" t="s">
        <v>332</v>
      </c>
      <c r="B9" s="120" t="s">
        <v>330</v>
      </c>
    </row>
    <row r="10" spans="1:2" ht="15.75" thickBot="1" x14ac:dyDescent="0.25">
      <c r="A10" s="117" t="s">
        <v>914</v>
      </c>
      <c r="B10" s="118" t="s">
        <v>190</v>
      </c>
    </row>
    <row r="11" spans="1:2" ht="15.75" thickBot="1" x14ac:dyDescent="0.25">
      <c r="A11" s="119" t="s">
        <v>915</v>
      </c>
      <c r="B11" s="120" t="s">
        <v>859</v>
      </c>
    </row>
    <row r="12" spans="1:2" ht="15.75" thickBot="1" x14ac:dyDescent="0.25">
      <c r="A12" s="117" t="s">
        <v>916</v>
      </c>
      <c r="B12" s="118" t="s">
        <v>860</v>
      </c>
    </row>
    <row r="13" spans="1:2" ht="15.75" thickBot="1" x14ac:dyDescent="0.25">
      <c r="A13" s="119" t="s">
        <v>917</v>
      </c>
      <c r="B13" s="120" t="s">
        <v>861</v>
      </c>
    </row>
    <row r="14" spans="1:2" ht="15.75" thickBot="1" x14ac:dyDescent="0.25">
      <c r="A14" s="117" t="s">
        <v>918</v>
      </c>
      <c r="B14" s="118" t="s">
        <v>862</v>
      </c>
    </row>
    <row r="15" spans="1:2" ht="15.75" thickBot="1" x14ac:dyDescent="0.25">
      <c r="A15" s="119" t="s">
        <v>919</v>
      </c>
      <c r="B15" s="120" t="s">
        <v>863</v>
      </c>
    </row>
    <row r="16" spans="1:2" ht="15.75" thickBot="1" x14ac:dyDescent="0.25">
      <c r="A16" s="124" t="s">
        <v>920</v>
      </c>
      <c r="B16" s="118" t="s">
        <v>864</v>
      </c>
    </row>
    <row r="17" spans="1:2" ht="15.75" thickBot="1" x14ac:dyDescent="0.25">
      <c r="A17" s="123" t="s">
        <v>921</v>
      </c>
      <c r="B17" s="120" t="s">
        <v>865</v>
      </c>
    </row>
    <row r="18" spans="1:2" ht="15.75" thickBot="1" x14ac:dyDescent="0.25">
      <c r="A18" s="117" t="s">
        <v>922</v>
      </c>
      <c r="B18" s="118" t="s">
        <v>923</v>
      </c>
    </row>
    <row r="19" spans="1:2" ht="15.75" thickBot="1" x14ac:dyDescent="0.25">
      <c r="A19" s="119" t="s">
        <v>924</v>
      </c>
      <c r="B19" s="120" t="s">
        <v>558</v>
      </c>
    </row>
    <row r="20" spans="1:2" ht="15.75" thickBot="1" x14ac:dyDescent="0.25">
      <c r="A20" s="117" t="s">
        <v>925</v>
      </c>
      <c r="B20" s="118" t="s">
        <v>926</v>
      </c>
    </row>
    <row r="21" spans="1:2" ht="15.75" thickBot="1" x14ac:dyDescent="0.25">
      <c r="A21" s="119" t="s">
        <v>927</v>
      </c>
      <c r="B21" s="120" t="s">
        <v>867</v>
      </c>
    </row>
    <row r="22" spans="1:2" ht="15.75" thickBot="1" x14ac:dyDescent="0.25">
      <c r="A22" s="119" t="s">
        <v>928</v>
      </c>
      <c r="B22" s="120" t="s">
        <v>868</v>
      </c>
    </row>
    <row r="23" spans="1:2" ht="15.75" thickBot="1" x14ac:dyDescent="0.25">
      <c r="A23" s="117" t="s">
        <v>929</v>
      </c>
      <c r="B23" s="118" t="s">
        <v>869</v>
      </c>
    </row>
    <row r="24" spans="1:2" ht="15.75" thickBot="1" x14ac:dyDescent="0.25">
      <c r="A24" s="119" t="s">
        <v>930</v>
      </c>
      <c r="B24" s="120" t="s">
        <v>870</v>
      </c>
    </row>
    <row r="25" spans="1:2" ht="15.75" thickBot="1" x14ac:dyDescent="0.25">
      <c r="A25" s="117" t="s">
        <v>931</v>
      </c>
      <c r="B25" s="118" t="s">
        <v>871</v>
      </c>
    </row>
    <row r="26" spans="1:2" ht="15.75" thickBot="1" x14ac:dyDescent="0.25">
      <c r="A26" s="119" t="s">
        <v>390</v>
      </c>
      <c r="B26" s="120" t="s">
        <v>388</v>
      </c>
    </row>
    <row r="27" spans="1:2" ht="15.75" thickBot="1" x14ac:dyDescent="0.25">
      <c r="A27" s="117" t="s">
        <v>319</v>
      </c>
      <c r="B27" s="118" t="s">
        <v>872</v>
      </c>
    </row>
    <row r="28" spans="1:2" ht="15.75" thickBot="1" x14ac:dyDescent="0.25">
      <c r="A28" s="119" t="s">
        <v>932</v>
      </c>
      <c r="B28" s="120" t="s">
        <v>873</v>
      </c>
    </row>
    <row r="29" spans="1:2" ht="15.75" thickBot="1" x14ac:dyDescent="0.25">
      <c r="A29" s="117" t="s">
        <v>933</v>
      </c>
      <c r="B29" s="118" t="s">
        <v>874</v>
      </c>
    </row>
    <row r="30" spans="1:2" ht="15.75" thickBot="1" x14ac:dyDescent="0.25">
      <c r="A30" s="119" t="s">
        <v>934</v>
      </c>
      <c r="B30" s="120" t="s">
        <v>875</v>
      </c>
    </row>
    <row r="31" spans="1:2" ht="15.75" thickBot="1" x14ac:dyDescent="0.25">
      <c r="A31" s="126" t="s">
        <v>935</v>
      </c>
      <c r="B31" s="118" t="s">
        <v>876</v>
      </c>
    </row>
    <row r="32" spans="1:2" ht="15.75" thickBot="1" x14ac:dyDescent="0.25">
      <c r="A32" s="119" t="s">
        <v>936</v>
      </c>
      <c r="B32" s="120" t="s">
        <v>877</v>
      </c>
    </row>
    <row r="33" spans="1:2" ht="15.75" thickBot="1" x14ac:dyDescent="0.25">
      <c r="A33" s="117" t="s">
        <v>937</v>
      </c>
      <c r="B33" s="118" t="s">
        <v>878</v>
      </c>
    </row>
    <row r="34" spans="1:2" ht="15.75" thickBot="1" x14ac:dyDescent="0.25">
      <c r="A34" s="125" t="s">
        <v>938</v>
      </c>
      <c r="B34" s="120" t="s">
        <v>879</v>
      </c>
    </row>
    <row r="35" spans="1:2" ht="15.75" thickBot="1" x14ac:dyDescent="0.25">
      <c r="A35" s="117" t="s">
        <v>939</v>
      </c>
      <c r="B35" s="118" t="s">
        <v>880</v>
      </c>
    </row>
    <row r="36" spans="1:2" ht="15.75" thickBot="1" x14ac:dyDescent="0.25">
      <c r="A36" s="123" t="s">
        <v>940</v>
      </c>
      <c r="B36" s="120" t="s">
        <v>881</v>
      </c>
    </row>
    <row r="37" spans="1:2" ht="15.75" thickBot="1" x14ac:dyDescent="0.25">
      <c r="A37" s="117" t="s">
        <v>941</v>
      </c>
      <c r="B37" s="118" t="s">
        <v>883</v>
      </c>
    </row>
    <row r="38" spans="1:2" ht="15.75" thickBot="1" x14ac:dyDescent="0.25">
      <c r="A38" s="119" t="s">
        <v>927</v>
      </c>
      <c r="B38" s="120" t="s">
        <v>504</v>
      </c>
    </row>
    <row r="39" spans="1:2" ht="15.75" thickBot="1" x14ac:dyDescent="0.25">
      <c r="A39" s="117" t="s">
        <v>942</v>
      </c>
      <c r="B39" s="118" t="s">
        <v>884</v>
      </c>
    </row>
    <row r="40" spans="1:2" ht="15.75" thickBot="1" x14ac:dyDescent="0.25">
      <c r="A40" s="119" t="s">
        <v>943</v>
      </c>
      <c r="B40" s="120" t="s">
        <v>885</v>
      </c>
    </row>
    <row r="41" spans="1:2" ht="15.75" thickBot="1" x14ac:dyDescent="0.25">
      <c r="A41" s="117" t="s">
        <v>944</v>
      </c>
      <c r="B41" s="118" t="s">
        <v>371</v>
      </c>
    </row>
    <row r="42" spans="1:2" ht="15.75" thickBot="1" x14ac:dyDescent="0.25">
      <c r="A42" s="119" t="s">
        <v>945</v>
      </c>
      <c r="B42" s="120" t="s">
        <v>886</v>
      </c>
    </row>
    <row r="43" spans="1:2" ht="15.75" thickBot="1" x14ac:dyDescent="0.25">
      <c r="A43" s="117" t="s">
        <v>946</v>
      </c>
      <c r="B43" s="118" t="s">
        <v>887</v>
      </c>
    </row>
    <row r="44" spans="1:2" ht="15.75" thickBot="1" x14ac:dyDescent="0.25">
      <c r="A44" s="119" t="s">
        <v>947</v>
      </c>
      <c r="B44" s="120" t="s">
        <v>888</v>
      </c>
    </row>
    <row r="45" spans="1:2" ht="15.75" thickBot="1" x14ac:dyDescent="0.25">
      <c r="A45" s="124" t="s">
        <v>393</v>
      </c>
      <c r="B45" s="118" t="s">
        <v>889</v>
      </c>
    </row>
    <row r="46" spans="1:2" ht="15.75" thickBot="1" x14ac:dyDescent="0.25">
      <c r="A46" s="119" t="s">
        <v>948</v>
      </c>
      <c r="B46" s="120" t="s">
        <v>529</v>
      </c>
    </row>
    <row r="47" spans="1:2" ht="26.25" thickBot="1" x14ac:dyDescent="0.25">
      <c r="A47" s="117" t="s">
        <v>949</v>
      </c>
      <c r="B47" s="118" t="s">
        <v>890</v>
      </c>
    </row>
    <row r="48" spans="1:2" ht="15.75" thickBot="1" x14ac:dyDescent="0.25">
      <c r="A48" s="119" t="s">
        <v>950</v>
      </c>
      <c r="B48" s="120" t="s">
        <v>891</v>
      </c>
    </row>
    <row r="49" spans="1:2" ht="15.75" thickBot="1" x14ac:dyDescent="0.25">
      <c r="A49" s="124" t="s">
        <v>951</v>
      </c>
      <c r="B49" s="118" t="s">
        <v>822</v>
      </c>
    </row>
    <row r="50" spans="1:2" ht="15.75" thickBot="1" x14ac:dyDescent="0.25">
      <c r="A50" s="119" t="s">
        <v>952</v>
      </c>
      <c r="B50" s="120" t="s">
        <v>892</v>
      </c>
    </row>
    <row r="51" spans="1:2" ht="15.75" thickBot="1" x14ac:dyDescent="0.25">
      <c r="A51" s="124" t="s">
        <v>284</v>
      </c>
      <c r="B51" s="118" t="s">
        <v>561</v>
      </c>
    </row>
    <row r="52" spans="1:2" ht="15.75" thickBot="1" x14ac:dyDescent="0.25">
      <c r="A52" s="125" t="s">
        <v>953</v>
      </c>
      <c r="B52" s="120" t="s">
        <v>893</v>
      </c>
    </row>
    <row r="53" spans="1:2" ht="15.75" thickBot="1" x14ac:dyDescent="0.25">
      <c r="A53" s="117" t="s">
        <v>954</v>
      </c>
      <c r="B53" s="118" t="s">
        <v>894</v>
      </c>
    </row>
    <row r="54" spans="1:2" ht="15.75" thickBot="1" x14ac:dyDescent="0.25">
      <c r="A54" s="119" t="s">
        <v>955</v>
      </c>
      <c r="B54" s="120" t="s">
        <v>895</v>
      </c>
    </row>
    <row r="55" spans="1:2" ht="15.75" thickBot="1" x14ac:dyDescent="0.25">
      <c r="A55" s="117" t="s">
        <v>956</v>
      </c>
      <c r="B55" s="118" t="s">
        <v>896</v>
      </c>
    </row>
    <row r="56" spans="1:2" ht="15.75" thickBot="1" x14ac:dyDescent="0.25">
      <c r="A56" s="119" t="s">
        <v>957</v>
      </c>
      <c r="B56" s="120" t="s">
        <v>897</v>
      </c>
    </row>
    <row r="57" spans="1:2" ht="15.75" thickBot="1" x14ac:dyDescent="0.25">
      <c r="A57" s="117" t="s">
        <v>269</v>
      </c>
      <c r="B57" s="118" t="s">
        <v>267</v>
      </c>
    </row>
    <row r="58" spans="1:2" ht="15.75" thickBot="1" x14ac:dyDescent="0.25">
      <c r="A58" s="119" t="s">
        <v>958</v>
      </c>
      <c r="B58" s="120" t="s">
        <v>898</v>
      </c>
    </row>
    <row r="59" spans="1:2" ht="15.75" thickBot="1" x14ac:dyDescent="0.25">
      <c r="A59" s="117" t="s">
        <v>959</v>
      </c>
      <c r="B59" s="118" t="s">
        <v>593</v>
      </c>
    </row>
    <row r="60" spans="1:2" ht="15.75" thickBot="1" x14ac:dyDescent="0.25">
      <c r="A60" s="127" t="s">
        <v>347</v>
      </c>
      <c r="B60" s="120" t="s">
        <v>25</v>
      </c>
    </row>
    <row r="61" spans="1:2" ht="15.75" thickBot="1" x14ac:dyDescent="0.25">
      <c r="A61" s="124" t="s">
        <v>960</v>
      </c>
      <c r="B61" s="118" t="s">
        <v>820</v>
      </c>
    </row>
    <row r="62" spans="1:2" ht="15.75" thickBot="1" x14ac:dyDescent="0.25">
      <c r="A62" s="127" t="s">
        <v>961</v>
      </c>
      <c r="B62" s="120" t="s">
        <v>598</v>
      </c>
    </row>
    <row r="63" spans="1:2" ht="15.75" thickBot="1" x14ac:dyDescent="0.25">
      <c r="A63" s="117" t="s">
        <v>790</v>
      </c>
      <c r="B63" s="118" t="s">
        <v>899</v>
      </c>
    </row>
    <row r="64" spans="1:2" ht="15.75" thickBot="1" x14ac:dyDescent="0.25">
      <c r="A64" s="123" t="s">
        <v>962</v>
      </c>
      <c r="B64" s="120" t="s">
        <v>900</v>
      </c>
    </row>
    <row r="65" spans="1:2" ht="15.75" thickBot="1" x14ac:dyDescent="0.25">
      <c r="A65" s="117" t="s">
        <v>963</v>
      </c>
      <c r="B65" s="118" t="s">
        <v>901</v>
      </c>
    </row>
    <row r="66" spans="1:2" ht="15.75" thickBot="1" x14ac:dyDescent="0.25">
      <c r="A66" s="123" t="s">
        <v>964</v>
      </c>
      <c r="B66" s="120" t="s">
        <v>902</v>
      </c>
    </row>
    <row r="67" spans="1:2" ht="15.75" thickBot="1" x14ac:dyDescent="0.25">
      <c r="A67" s="126" t="s">
        <v>965</v>
      </c>
      <c r="B67" s="118" t="s">
        <v>903</v>
      </c>
    </row>
    <row r="68" spans="1:2" ht="15.75" thickBot="1" x14ac:dyDescent="0.25">
      <c r="A68" s="121" t="s">
        <v>966</v>
      </c>
      <c r="B68" s="122" t="s">
        <v>904</v>
      </c>
    </row>
    <row r="69" spans="1:2" ht="15.75" thickBot="1" x14ac:dyDescent="0.25">
      <c r="A69" s="30"/>
      <c r="B69" s="30"/>
    </row>
    <row r="70" spans="1:2" ht="15.75" thickBot="1" x14ac:dyDescent="0.25">
      <c r="A70" s="30"/>
      <c r="B70" s="30"/>
    </row>
    <row r="71" spans="1:2" ht="15.75" thickBot="1" x14ac:dyDescent="0.25">
      <c r="A71" s="30"/>
      <c r="B71" s="30"/>
    </row>
    <row r="72" spans="1:2" ht="15.75" thickBot="1" x14ac:dyDescent="0.25">
      <c r="A72" s="30"/>
      <c r="B72" s="30"/>
    </row>
    <row r="73" spans="1:2" ht="15.75" thickBot="1" x14ac:dyDescent="0.25">
      <c r="A73" s="30"/>
      <c r="B73" s="30"/>
    </row>
    <row r="74" spans="1:2" ht="15.75" thickBot="1" x14ac:dyDescent="0.25">
      <c r="A74" s="30"/>
      <c r="B74" s="30"/>
    </row>
    <row r="75" spans="1:2" ht="15.75" thickBot="1" x14ac:dyDescent="0.25">
      <c r="A75" s="30"/>
      <c r="B75" s="30"/>
    </row>
    <row r="76" spans="1:2" ht="15.75" thickBot="1" x14ac:dyDescent="0.25">
      <c r="A76" s="30"/>
      <c r="B76" s="30"/>
    </row>
    <row r="77" spans="1:2" ht="15.75" thickBot="1" x14ac:dyDescent="0.25">
      <c r="A77" s="30"/>
      <c r="B77" s="30"/>
    </row>
    <row r="78" spans="1:2" ht="15.75" thickBot="1" x14ac:dyDescent="0.25">
      <c r="A78" s="30"/>
      <c r="B78" s="30"/>
    </row>
    <row r="79" spans="1:2" ht="15.75" thickBot="1" x14ac:dyDescent="0.25">
      <c r="A79" s="30"/>
      <c r="B79" s="30"/>
    </row>
    <row r="80" spans="1:2" ht="15.75" thickBot="1" x14ac:dyDescent="0.25">
      <c r="A80" s="30"/>
      <c r="B80" s="30"/>
    </row>
    <row r="81" spans="1:2" ht="15.75" thickBot="1" x14ac:dyDescent="0.25">
      <c r="A81" s="30"/>
      <c r="B81" s="30"/>
    </row>
    <row r="82" spans="1:2" ht="15.75" thickBot="1" x14ac:dyDescent="0.25">
      <c r="A82" s="30"/>
      <c r="B82" s="30"/>
    </row>
    <row r="83" spans="1:2" ht="15.75" thickBot="1" x14ac:dyDescent="0.25">
      <c r="A83" s="30"/>
      <c r="B83" s="30"/>
    </row>
    <row r="84" spans="1:2" ht="15.75" thickBot="1" x14ac:dyDescent="0.25">
      <c r="A84" s="30"/>
      <c r="B84" s="30"/>
    </row>
    <row r="85" spans="1:2" ht="15.75" thickBot="1" x14ac:dyDescent="0.25">
      <c r="A85" s="30"/>
      <c r="B85" s="30"/>
    </row>
    <row r="86" spans="1:2" ht="15.75" thickBot="1" x14ac:dyDescent="0.25">
      <c r="A86" s="30"/>
      <c r="B86" s="30"/>
    </row>
    <row r="87" spans="1:2" ht="15.75" thickBot="1" x14ac:dyDescent="0.25">
      <c r="A87" s="30"/>
      <c r="B87" s="30"/>
    </row>
    <row r="88" spans="1:2" ht="15.75" thickBot="1" x14ac:dyDescent="0.25">
      <c r="A88" s="30"/>
      <c r="B88" s="30"/>
    </row>
    <row r="89" spans="1:2" ht="15.75" thickBot="1" x14ac:dyDescent="0.25">
      <c r="A89" s="30"/>
      <c r="B89" s="30"/>
    </row>
    <row r="90" spans="1:2" ht="15.75" thickBot="1" x14ac:dyDescent="0.25">
      <c r="A90" s="30"/>
      <c r="B90" s="30"/>
    </row>
    <row r="91" spans="1:2" ht="15.75" thickBot="1" x14ac:dyDescent="0.25">
      <c r="A91" s="30"/>
      <c r="B91" s="30"/>
    </row>
    <row r="92" spans="1:2" ht="15.75" thickBot="1" x14ac:dyDescent="0.25">
      <c r="A92" s="30"/>
      <c r="B92" s="30"/>
    </row>
    <row r="93" spans="1:2" ht="15.75" thickBot="1" x14ac:dyDescent="0.25">
      <c r="A93" s="30"/>
      <c r="B93" s="30"/>
    </row>
    <row r="94" spans="1:2" ht="15.75" thickBot="1" x14ac:dyDescent="0.25">
      <c r="A94" s="30"/>
      <c r="B94" s="30"/>
    </row>
    <row r="95" spans="1:2" ht="15.75" thickBot="1" x14ac:dyDescent="0.25">
      <c r="A95" s="30"/>
      <c r="B95" s="30"/>
    </row>
    <row r="96" spans="1:2" ht="15.75" thickBot="1" x14ac:dyDescent="0.25">
      <c r="A96" s="30"/>
      <c r="B96" s="30"/>
    </row>
    <row r="97" spans="1:2" ht="15.75" thickBot="1" x14ac:dyDescent="0.25">
      <c r="A97" s="30"/>
      <c r="B97" s="30"/>
    </row>
    <row r="98" spans="1:2" ht="15.75" thickBot="1" x14ac:dyDescent="0.25">
      <c r="A98" s="30"/>
      <c r="B98" s="30"/>
    </row>
    <row r="99" spans="1:2" ht="15.75" thickBot="1" x14ac:dyDescent="0.25">
      <c r="A99" s="30"/>
      <c r="B99" s="30"/>
    </row>
    <row r="100" spans="1:2" ht="15.75" thickBot="1" x14ac:dyDescent="0.25">
      <c r="A100" s="30"/>
      <c r="B100" s="30"/>
    </row>
    <row r="101" spans="1:2" ht="15.75" thickBot="1" x14ac:dyDescent="0.25">
      <c r="A101" s="30"/>
      <c r="B101" s="30"/>
    </row>
    <row r="102" spans="1:2" ht="15.75" thickBot="1" x14ac:dyDescent="0.25">
      <c r="A102" s="30"/>
      <c r="B102" s="30"/>
    </row>
    <row r="103" spans="1:2" ht="15.75" thickBot="1" x14ac:dyDescent="0.25">
      <c r="A103" s="30"/>
      <c r="B103" s="30"/>
    </row>
    <row r="104" spans="1:2" ht="15.75" thickBot="1" x14ac:dyDescent="0.25">
      <c r="A104" s="30"/>
      <c r="B104" s="30"/>
    </row>
    <row r="105" spans="1:2" ht="15.75" thickBot="1" x14ac:dyDescent="0.25">
      <c r="A105" s="30"/>
      <c r="B105" s="30"/>
    </row>
    <row r="106" spans="1:2" ht="15.75" thickBot="1" x14ac:dyDescent="0.25">
      <c r="A106" s="30"/>
      <c r="B106" s="30"/>
    </row>
    <row r="107" spans="1:2" ht="15.75" thickBot="1" x14ac:dyDescent="0.25">
      <c r="A107" s="30"/>
      <c r="B107" s="30"/>
    </row>
    <row r="108" spans="1:2" ht="15.75" thickBot="1" x14ac:dyDescent="0.25">
      <c r="A108" s="30"/>
      <c r="B108" s="30"/>
    </row>
    <row r="109" spans="1:2" ht="15.75" thickBot="1" x14ac:dyDescent="0.25">
      <c r="A109" s="30"/>
      <c r="B109" s="30"/>
    </row>
    <row r="110" spans="1:2" ht="15.75" thickBot="1" x14ac:dyDescent="0.25">
      <c r="A110" s="30"/>
      <c r="B110" s="30"/>
    </row>
    <row r="111" spans="1:2" ht="15.75" thickBot="1" x14ac:dyDescent="0.25">
      <c r="A111" s="30"/>
      <c r="B111" s="30"/>
    </row>
    <row r="112" spans="1:2" ht="15.75" thickBot="1" x14ac:dyDescent="0.25">
      <c r="A112" s="30"/>
      <c r="B112" s="30"/>
    </row>
    <row r="113" spans="1:2" ht="15.75" thickBot="1" x14ac:dyDescent="0.25">
      <c r="A113" s="30"/>
      <c r="B113" s="30"/>
    </row>
    <row r="114" spans="1:2" ht="15.75" thickBot="1" x14ac:dyDescent="0.25">
      <c r="A114" s="30"/>
      <c r="B114" s="30"/>
    </row>
    <row r="115" spans="1:2" ht="15.75" thickBot="1" x14ac:dyDescent="0.25">
      <c r="A115" s="30"/>
      <c r="B115" s="30"/>
    </row>
    <row r="116" spans="1:2" ht="15.75" thickBot="1" x14ac:dyDescent="0.25">
      <c r="A116" s="30"/>
      <c r="B116" s="30"/>
    </row>
    <row r="117" spans="1:2" ht="15.75" thickBot="1" x14ac:dyDescent="0.25">
      <c r="A117" s="30"/>
      <c r="B117" s="30"/>
    </row>
    <row r="118" spans="1:2" ht="15.75" thickBot="1" x14ac:dyDescent="0.25">
      <c r="A118" s="30"/>
      <c r="B118" s="30"/>
    </row>
    <row r="119" spans="1:2" ht="15.75" thickBot="1" x14ac:dyDescent="0.25">
      <c r="A119" s="30"/>
      <c r="B119" s="30"/>
    </row>
    <row r="120" spans="1:2" ht="15.75" thickBot="1" x14ac:dyDescent="0.25">
      <c r="A120" s="30"/>
      <c r="B120" s="30"/>
    </row>
    <row r="121" spans="1:2" ht="15.75" thickBot="1" x14ac:dyDescent="0.25">
      <c r="A121" s="30"/>
      <c r="B121" s="30"/>
    </row>
    <row r="122" spans="1:2" ht="15.75" thickBot="1" x14ac:dyDescent="0.25">
      <c r="A122" s="30"/>
      <c r="B122" s="30"/>
    </row>
    <row r="123" spans="1:2" ht="15.75" thickBot="1" x14ac:dyDescent="0.25">
      <c r="A123" s="30"/>
      <c r="B123" s="30"/>
    </row>
    <row r="124" spans="1:2" ht="15.75" thickBot="1" x14ac:dyDescent="0.25">
      <c r="A124" s="30"/>
      <c r="B124" s="30"/>
    </row>
    <row r="125" spans="1:2" ht="15.75" thickBot="1" x14ac:dyDescent="0.25">
      <c r="A125" s="30"/>
      <c r="B125" s="30"/>
    </row>
    <row r="126" spans="1:2" ht="15.75" thickBot="1" x14ac:dyDescent="0.25">
      <c r="A126" s="30"/>
      <c r="B126" s="30"/>
    </row>
    <row r="127" spans="1:2" ht="15.75" thickBot="1" x14ac:dyDescent="0.25">
      <c r="A127" s="30"/>
      <c r="B127" s="30"/>
    </row>
    <row r="128" spans="1:2" ht="15.75" thickBot="1" x14ac:dyDescent="0.25">
      <c r="A128" s="30"/>
      <c r="B128" s="30"/>
    </row>
    <row r="129" spans="1:2" ht="15.75" thickBot="1" x14ac:dyDescent="0.25">
      <c r="A129" s="30"/>
      <c r="B129" s="30"/>
    </row>
    <row r="130" spans="1:2" ht="15.75" thickBot="1" x14ac:dyDescent="0.25">
      <c r="A130" s="30"/>
      <c r="B130" s="30"/>
    </row>
    <row r="131" spans="1:2" ht="15.75" thickBot="1" x14ac:dyDescent="0.25">
      <c r="A131" s="30"/>
      <c r="B131" s="30"/>
    </row>
    <row r="132" spans="1:2" ht="15.75" thickBot="1" x14ac:dyDescent="0.25">
      <c r="A132" s="30"/>
      <c r="B132" s="30"/>
    </row>
    <row r="133" spans="1:2" ht="15.75" thickBot="1" x14ac:dyDescent="0.25">
      <c r="A133" s="30"/>
      <c r="B133" s="30"/>
    </row>
    <row r="134" spans="1:2" ht="15.75" thickBot="1" x14ac:dyDescent="0.25">
      <c r="A134" s="30"/>
      <c r="B134" s="30"/>
    </row>
    <row r="135" spans="1:2" ht="15.75" thickBot="1" x14ac:dyDescent="0.25">
      <c r="A135" s="30"/>
      <c r="B135" s="30"/>
    </row>
    <row r="136" spans="1:2" ht="15.75" thickBot="1" x14ac:dyDescent="0.25">
      <c r="A136" s="30"/>
      <c r="B136" s="30"/>
    </row>
    <row r="137" spans="1:2" ht="15.75" thickBot="1" x14ac:dyDescent="0.25">
      <c r="A137" s="30"/>
      <c r="B137" s="30"/>
    </row>
    <row r="138" spans="1:2" ht="15.75" thickBot="1" x14ac:dyDescent="0.25">
      <c r="A138" s="30"/>
      <c r="B138" s="30"/>
    </row>
    <row r="139" spans="1:2" ht="15.75" thickBot="1" x14ac:dyDescent="0.25">
      <c r="A139" s="30"/>
      <c r="B139" s="30"/>
    </row>
    <row r="140" spans="1:2" ht="15.75" thickBot="1" x14ac:dyDescent="0.25">
      <c r="A140" s="30"/>
      <c r="B140" s="30"/>
    </row>
    <row r="141" spans="1:2" ht="15.75" thickBot="1" x14ac:dyDescent="0.25">
      <c r="A141" s="30"/>
      <c r="B141" s="30"/>
    </row>
    <row r="142" spans="1:2" ht="15.75" thickBot="1" x14ac:dyDescent="0.25">
      <c r="A142" s="30"/>
      <c r="B142" s="30"/>
    </row>
    <row r="143" spans="1:2" ht="15.75" thickBot="1" x14ac:dyDescent="0.25">
      <c r="A143" s="30"/>
      <c r="B143" s="30"/>
    </row>
    <row r="144" spans="1:2" ht="15.75" thickBot="1" x14ac:dyDescent="0.25">
      <c r="A144" s="30"/>
      <c r="B144" s="30"/>
    </row>
    <row r="145" spans="1:2" ht="15.75" thickBot="1" x14ac:dyDescent="0.25">
      <c r="A145" s="30"/>
      <c r="B145" s="30"/>
    </row>
    <row r="146" spans="1:2" ht="15.75" thickBot="1" x14ac:dyDescent="0.25">
      <c r="A146" s="30"/>
      <c r="B146" s="30"/>
    </row>
    <row r="147" spans="1:2" ht="15.75" thickBot="1" x14ac:dyDescent="0.25">
      <c r="A147" s="30"/>
      <c r="B147" s="30"/>
    </row>
    <row r="148" spans="1:2" ht="15.75" thickBot="1" x14ac:dyDescent="0.25">
      <c r="A148" s="30"/>
      <c r="B148" s="30"/>
    </row>
    <row r="149" spans="1:2" ht="15.75" thickBot="1" x14ac:dyDescent="0.25">
      <c r="A149" s="30"/>
      <c r="B149" s="30"/>
    </row>
    <row r="150" spans="1:2" ht="15.75" thickBot="1" x14ac:dyDescent="0.25">
      <c r="A150" s="30"/>
      <c r="B150" s="30"/>
    </row>
    <row r="151" spans="1:2" ht="15.75" thickBot="1" x14ac:dyDescent="0.25">
      <c r="A151" s="30"/>
      <c r="B151" s="30"/>
    </row>
    <row r="152" spans="1:2" ht="15.75" thickBot="1" x14ac:dyDescent="0.25">
      <c r="A152" s="30"/>
      <c r="B152" s="30"/>
    </row>
    <row r="153" spans="1:2" ht="15.75" thickBot="1" x14ac:dyDescent="0.25">
      <c r="A153" s="30"/>
      <c r="B153" s="30"/>
    </row>
    <row r="154" spans="1:2" ht="15.75" thickBot="1" x14ac:dyDescent="0.25">
      <c r="A154" s="30"/>
      <c r="B154" s="30"/>
    </row>
    <row r="155" spans="1:2" ht="15.75" thickBot="1" x14ac:dyDescent="0.25">
      <c r="A155" s="30"/>
      <c r="B155" s="30"/>
    </row>
    <row r="156" spans="1:2" ht="15.75" thickBot="1" x14ac:dyDescent="0.25">
      <c r="A156" s="30"/>
      <c r="B156" s="30"/>
    </row>
    <row r="157" spans="1:2" ht="15.75" thickBot="1" x14ac:dyDescent="0.25">
      <c r="A157" s="30"/>
      <c r="B157" s="30"/>
    </row>
    <row r="158" spans="1:2" ht="15.75" thickBot="1" x14ac:dyDescent="0.25">
      <c r="A158" s="30"/>
      <c r="B158" s="30"/>
    </row>
    <row r="159" spans="1:2" ht="15.75" thickBot="1" x14ac:dyDescent="0.25">
      <c r="A159" s="30"/>
      <c r="B159" s="30"/>
    </row>
    <row r="160" spans="1:2" ht="15.75" thickBot="1" x14ac:dyDescent="0.25">
      <c r="A160" s="30"/>
      <c r="B160" s="30"/>
    </row>
    <row r="161" spans="1:2" ht="15.75" thickBot="1" x14ac:dyDescent="0.25">
      <c r="A161" s="30"/>
      <c r="B161" s="30"/>
    </row>
    <row r="162" spans="1:2" ht="15.75" thickBot="1" x14ac:dyDescent="0.25">
      <c r="A162" s="30"/>
      <c r="B162" s="30"/>
    </row>
    <row r="163" spans="1:2" ht="15.75" thickBot="1" x14ac:dyDescent="0.25">
      <c r="A163" s="30"/>
      <c r="B163" s="30"/>
    </row>
    <row r="164" spans="1:2" ht="15.75" thickBot="1" x14ac:dyDescent="0.25">
      <c r="A164" s="30"/>
      <c r="B164" s="30"/>
    </row>
    <row r="165" spans="1:2" ht="15.75" thickBot="1" x14ac:dyDescent="0.25">
      <c r="A165" s="30"/>
      <c r="B165" s="30"/>
    </row>
    <row r="166" spans="1:2" ht="15.75" thickBot="1" x14ac:dyDescent="0.25">
      <c r="A166" s="30"/>
      <c r="B166" s="30"/>
    </row>
    <row r="167" spans="1:2" ht="15.75" thickBot="1" x14ac:dyDescent="0.25">
      <c r="A167" s="30"/>
      <c r="B167" s="30"/>
    </row>
    <row r="168" spans="1:2" ht="15.75" thickBot="1" x14ac:dyDescent="0.25">
      <c r="A168" s="30"/>
      <c r="B168" s="30"/>
    </row>
  </sheetData>
  <hyperlinks>
    <hyperlink ref="A52" r:id="rId1" xr:uid="{0BBD0532-5586-4682-B8AC-63C51FFB3789}"/>
    <hyperlink ref="A31" r:id="rId2" xr:uid="{16A258DC-F160-46A1-9D77-3CBB0A5461EB}"/>
    <hyperlink ref="A6" r:id="rId3" xr:uid="{86335B0B-38F2-4AC8-BD3D-D1EBEA94465E}"/>
    <hyperlink ref="A7" r:id="rId4" xr:uid="{3FC700A7-8242-4C20-AD0D-E7D63D47F658}"/>
    <hyperlink ref="A9" r:id="rId5" xr:uid="{C0C6482C-A104-493E-AF3C-B976EF863DBE}"/>
    <hyperlink ref="A34" r:id="rId6" xr:uid="{852DE0F8-A5AA-4622-96CA-3600E2753185}"/>
    <hyperlink ref="A67" r:id="rId7" xr:uid="{926885C3-F3DE-4C40-94F7-AA6F6C7342FB}"/>
    <hyperlink ref="A60" r:id="rId8" xr:uid="{80715EB5-DECA-48FB-B6C7-A1F999A8DFB7}"/>
    <hyperlink ref="A62" r:id="rId9" xr:uid="{0C4A796A-C830-4ABB-A3CC-B3510557A28D}"/>
  </hyperlinks>
  <pageMargins left="0.7" right="0.7" top="0.75" bottom="0.75" header="0.3" footer="0.3"/>
  <pageSetup scale="89" fitToHeight="0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Volunteers 2024</vt:lpstr>
      <vt:lpstr>Possible Vendors List 2024</vt:lpstr>
      <vt:lpstr>Possible Vendors List 2025</vt:lpstr>
      <vt:lpstr>2026 Table Name &amp; Numbers-signs</vt:lpstr>
      <vt:lpstr>Possible Sponsors</vt:lpstr>
      <vt:lpstr>Financial</vt:lpstr>
      <vt:lpstr>Publicity List</vt:lpstr>
      <vt:lpstr>Resource Check-in 2024</vt:lpstr>
      <vt:lpstr>Volunteers 2025</vt:lpstr>
      <vt:lpstr>2026 Vendor Requests</vt:lpstr>
      <vt:lpstr>Volunteers 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Vollert</dc:creator>
  <cp:lastModifiedBy>Gloria Vollert</cp:lastModifiedBy>
  <cp:lastPrinted>2026-04-29T18:17:43Z</cp:lastPrinted>
  <dcterms:created xsi:type="dcterms:W3CDTF">2024-01-31T21:15:20Z</dcterms:created>
  <dcterms:modified xsi:type="dcterms:W3CDTF">2026-04-29T20:53:28Z</dcterms:modified>
</cp:coreProperties>
</file>